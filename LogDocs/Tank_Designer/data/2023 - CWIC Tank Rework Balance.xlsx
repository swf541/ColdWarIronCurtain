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orksheets/sheet1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d1a0a7897af12a/Documents/"/>
    </mc:Choice>
  </mc:AlternateContent>
  <xr:revisionPtr revIDLastSave="0" documentId="8_{BD5578D8-5634-45A3-8014-FCE635030CB2}" xr6:coauthVersionLast="47" xr6:coauthVersionMax="47" xr10:uidLastSave="{00000000-0000-0000-0000-000000000000}"/>
  <bookViews>
    <workbookView xWindow="-105" yWindow="0" windowWidth="26010" windowHeight="20985" tabRatio="719" firstSheet="2" activeTab="2" xr2:uid="{2FE851E2-0DE7-4849-997B-FB93E1C4F2E4}"/>
  </bookViews>
  <sheets>
    <sheet name="Years" sheetId="2" r:id="rId1"/>
    <sheet name="Hulls" sheetId="1" r:id="rId2"/>
    <sheet name="Roles" sheetId="5" r:id="rId3"/>
    <sheet name="Armored Battalions" sheetId="4" r:id="rId4"/>
    <sheet name="Gun Modules" sheetId="3" r:id="rId5"/>
    <sheet name="Night &amp; Thermal Vision Effects" sheetId="7" r:id="rId6"/>
    <sheet name="(DONE) AFV Hulls" sheetId="8" r:id="rId7"/>
    <sheet name="(DONE) FCS &amp; Gun Loading" sheetId="6" r:id="rId8"/>
    <sheet name="Total Balance Sheet Object 842" sheetId="14" r:id="rId9"/>
    <sheet name="(DONE) Armor &amp; Protection" sheetId="9" r:id="rId10"/>
    <sheet name="Total Balance Sheet Minimal" sheetId="16" r:id="rId11"/>
    <sheet name="Total Balance Sheet" sheetId="10" r:id="rId12"/>
    <sheet name="Сведение" sheetId="15" r:id="rId13"/>
    <sheet name="Work Sheet" sheetId="12" r:id="rId14"/>
    <sheet name="Piercing" sheetId="11" r:id="rId15"/>
    <sheet name="Implementation Status" sheetId="17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5" i="16" l="1"/>
  <c r="M306" i="16" s="1"/>
  <c r="M307" i="16" s="1"/>
  <c r="M308" i="16" s="1"/>
  <c r="M299" i="16"/>
  <c r="M300" i="16" s="1"/>
  <c r="M301" i="16" s="1"/>
  <c r="M302" i="16" s="1"/>
  <c r="K299" i="16"/>
  <c r="K300" i="16" s="1"/>
  <c r="K301" i="16" s="1"/>
  <c r="K302" i="16" s="1"/>
  <c r="M294" i="16"/>
  <c r="M295" i="16" s="1"/>
  <c r="M296" i="16" s="1"/>
  <c r="M284" i="16"/>
  <c r="M285" i="16" s="1"/>
  <c r="M276" i="16"/>
  <c r="M277" i="16" s="1"/>
  <c r="M278" i="16" s="1"/>
  <c r="M279" i="16" s="1"/>
  <c r="K276" i="16"/>
  <c r="K277" i="16" s="1"/>
  <c r="K278" i="16" s="1"/>
  <c r="K279" i="16" s="1"/>
  <c r="AH275" i="16"/>
  <c r="AH276" i="16" s="1"/>
  <c r="AH277" i="16" s="1"/>
  <c r="AH278" i="16" s="1"/>
  <c r="AH279" i="16" s="1"/>
  <c r="U271" i="16"/>
  <c r="U272" i="16" s="1"/>
  <c r="U273" i="16" s="1"/>
  <c r="AH261" i="16"/>
  <c r="AH262" i="16" s="1"/>
  <c r="AH263" i="16" s="1"/>
  <c r="AH264" i="16" s="1"/>
  <c r="AH265" i="16" s="1"/>
  <c r="U261" i="16"/>
  <c r="U262" i="16" s="1"/>
  <c r="U263" i="16" s="1"/>
  <c r="U264" i="16" s="1"/>
  <c r="U265" i="16" s="1"/>
  <c r="U266" i="16" s="1"/>
  <c r="U267" i="16" s="1"/>
  <c r="U268" i="16" s="1"/>
  <c r="K261" i="16"/>
  <c r="K262" i="16" s="1"/>
  <c r="K263" i="16" s="1"/>
  <c r="K264" i="16" s="1"/>
  <c r="K265" i="16" s="1"/>
  <c r="AH253" i="16"/>
  <c r="AH254" i="16" s="1"/>
  <c r="AH255" i="16" s="1"/>
  <c r="N253" i="16"/>
  <c r="N254" i="16" s="1"/>
  <c r="N255" i="16" s="1"/>
  <c r="L253" i="16"/>
  <c r="L254" i="16" s="1"/>
  <c r="L255" i="16" s="1"/>
  <c r="AH249" i="16"/>
  <c r="AH250" i="16" s="1"/>
  <c r="N249" i="16"/>
  <c r="N250" i="16" s="1"/>
  <c r="L249" i="16"/>
  <c r="L250" i="16" s="1"/>
  <c r="AH240" i="16"/>
  <c r="AH241" i="16" s="1"/>
  <c r="AH242" i="16" s="1"/>
  <c r="N240" i="16"/>
  <c r="N241" i="16" s="1"/>
  <c r="N242" i="16" s="1"/>
  <c r="L240" i="16"/>
  <c r="L241" i="16" s="1"/>
  <c r="L242" i="16" s="1"/>
  <c r="V233" i="16"/>
  <c r="V234" i="16" s="1"/>
  <c r="V235" i="16" s="1"/>
  <c r="V236" i="16" s="1"/>
  <c r="V237" i="16" s="1"/>
  <c r="N232" i="16"/>
  <c r="N233" i="16" s="1"/>
  <c r="N234" i="16" s="1"/>
  <c r="N235" i="16" s="1"/>
  <c r="N236" i="16" s="1"/>
  <c r="N237" i="16" s="1"/>
  <c r="L232" i="16"/>
  <c r="L233" i="16" s="1"/>
  <c r="L234" i="16" s="1"/>
  <c r="L235" i="16" s="1"/>
  <c r="L236" i="16" s="1"/>
  <c r="L237" i="16" s="1"/>
  <c r="V227" i="16"/>
  <c r="V228" i="16" s="1"/>
  <c r="V229" i="16" s="1"/>
  <c r="V230" i="16" s="1"/>
  <c r="V231" i="16" s="1"/>
  <c r="N227" i="16"/>
  <c r="N228" i="16" s="1"/>
  <c r="N229" i="16" s="1"/>
  <c r="N230" i="16" s="1"/>
  <c r="N231" i="16" s="1"/>
  <c r="L227" i="16"/>
  <c r="L228" i="16" s="1"/>
  <c r="L229" i="16" s="1"/>
  <c r="L230" i="16" s="1"/>
  <c r="L231" i="16" s="1"/>
  <c r="AH223" i="16"/>
  <c r="AH224" i="16" s="1"/>
  <c r="AH225" i="16" s="1"/>
  <c r="N223" i="16"/>
  <c r="N224" i="16" s="1"/>
  <c r="L223" i="16"/>
  <c r="L224" i="16" s="1"/>
  <c r="V216" i="16"/>
  <c r="V217" i="16" s="1"/>
  <c r="V218" i="16" s="1"/>
  <c r="V219" i="16" s="1"/>
  <c r="V220" i="16" s="1"/>
  <c r="AH212" i="16"/>
  <c r="AH213" i="16" s="1"/>
  <c r="AH214" i="16" s="1"/>
  <c r="AH215" i="16" s="1"/>
  <c r="AH216" i="16" s="1"/>
  <c r="AH217" i="16" s="1"/>
  <c r="AH218" i="16" s="1"/>
  <c r="AH219" i="16" s="1"/>
  <c r="AH220" i="16" s="1"/>
  <c r="N212" i="16"/>
  <c r="N213" i="16" s="1"/>
  <c r="N214" i="16" s="1"/>
  <c r="N215" i="16" s="1"/>
  <c r="N216" i="16" s="1"/>
  <c r="N217" i="16" s="1"/>
  <c r="N218" i="16" s="1"/>
  <c r="N219" i="16" s="1"/>
  <c r="N220" i="16" s="1"/>
  <c r="L212" i="16"/>
  <c r="L213" i="16" s="1"/>
  <c r="L214" i="16" s="1"/>
  <c r="L215" i="16" s="1"/>
  <c r="L216" i="16" s="1"/>
  <c r="L217" i="16" s="1"/>
  <c r="L218" i="16" s="1"/>
  <c r="L219" i="16" s="1"/>
  <c r="L220" i="16" s="1"/>
  <c r="R206" i="16"/>
  <c r="P206" i="16"/>
  <c r="AJ205" i="16"/>
  <c r="AJ206" i="16" s="1"/>
  <c r="AH205" i="16"/>
  <c r="AH206" i="16" s="1"/>
  <c r="AG205" i="16"/>
  <c r="AG206" i="16" s="1"/>
  <c r="I205" i="16"/>
  <c r="I206" i="16" s="1"/>
  <c r="AJ203" i="16"/>
  <c r="X203" i="16"/>
  <c r="Q203" i="16"/>
  <c r="O203" i="16"/>
  <c r="I203" i="16"/>
  <c r="AJ202" i="16"/>
  <c r="X202" i="16"/>
  <c r="Q202" i="16"/>
  <c r="O202" i="16"/>
  <c r="I202" i="16"/>
  <c r="AJ201" i="16"/>
  <c r="X201" i="16"/>
  <c r="Q201" i="16"/>
  <c r="O201" i="16"/>
  <c r="I201" i="16"/>
  <c r="AJ200" i="16"/>
  <c r="X200" i="16"/>
  <c r="Q200" i="16"/>
  <c r="O200" i="16"/>
  <c r="I200" i="16"/>
  <c r="AH198" i="16"/>
  <c r="AH203" i="16" s="1"/>
  <c r="AH197" i="16"/>
  <c r="AH202" i="16" s="1"/>
  <c r="AH196" i="16"/>
  <c r="AH201" i="16" s="1"/>
  <c r="AH195" i="16"/>
  <c r="AH200" i="16" s="1"/>
  <c r="AE195" i="16"/>
  <c r="AE200" i="16" s="1"/>
  <c r="AH194" i="16"/>
  <c r="AE194" i="16"/>
  <c r="AE197" i="16" s="1"/>
  <c r="AE202" i="16" s="1"/>
  <c r="J194" i="16"/>
  <c r="AH193" i="16"/>
  <c r="AE192" i="16"/>
  <c r="J192" i="16"/>
  <c r="J193" i="16" s="1"/>
  <c r="Q189" i="16"/>
  <c r="O189" i="16"/>
  <c r="AJ187" i="16"/>
  <c r="AJ188" i="16" s="1"/>
  <c r="AJ189" i="16" s="1"/>
  <c r="AH187" i="16"/>
  <c r="AH188" i="16" s="1"/>
  <c r="AH189" i="16" s="1"/>
  <c r="AE187" i="16"/>
  <c r="AE188" i="16" s="1"/>
  <c r="AE189" i="16" s="1"/>
  <c r="I187" i="16"/>
  <c r="I188" i="16" s="1"/>
  <c r="I189" i="16" s="1"/>
  <c r="Q183" i="16"/>
  <c r="O183" i="16"/>
  <c r="AJ179" i="16"/>
  <c r="AJ180" i="16" s="1"/>
  <c r="AJ181" i="16" s="1"/>
  <c r="AJ182" i="16" s="1"/>
  <c r="AJ183" i="16" s="1"/>
  <c r="AJ184" i="16" s="1"/>
  <c r="AH179" i="16"/>
  <c r="AH180" i="16" s="1"/>
  <c r="AH181" i="16" s="1"/>
  <c r="AH182" i="16" s="1"/>
  <c r="AH183" i="16" s="1"/>
  <c r="AE179" i="16"/>
  <c r="AE180" i="16" s="1"/>
  <c r="AE181" i="16" s="1"/>
  <c r="AE182" i="16" s="1"/>
  <c r="AE183" i="16" s="1"/>
  <c r="AE184" i="16" s="1"/>
  <c r="I179" i="16"/>
  <c r="I180" i="16" s="1"/>
  <c r="I181" i="16" s="1"/>
  <c r="I182" i="16" s="1"/>
  <c r="I183" i="16" s="1"/>
  <c r="I184" i="16" s="1"/>
  <c r="AJ174" i="16"/>
  <c r="AJ175" i="16" s="1"/>
  <c r="AJ176" i="16" s="1"/>
  <c r="AH174" i="16"/>
  <c r="AH175" i="16" s="1"/>
  <c r="AH176" i="16" s="1"/>
  <c r="AE174" i="16"/>
  <c r="AE175" i="16" s="1"/>
  <c r="AE176" i="16" s="1"/>
  <c r="AD174" i="16"/>
  <c r="AD175" i="16" s="1"/>
  <c r="AD176" i="16" s="1"/>
  <c r="X174" i="16"/>
  <c r="X175" i="16" s="1"/>
  <c r="X176" i="16" s="1"/>
  <c r="Q174" i="16"/>
  <c r="Q175" i="16" s="1"/>
  <c r="Q176" i="16" s="1"/>
  <c r="O174" i="16"/>
  <c r="O175" i="16" s="1"/>
  <c r="O176" i="16" s="1"/>
  <c r="I174" i="16"/>
  <c r="I175" i="16" s="1"/>
  <c r="I176" i="16" s="1"/>
  <c r="AJ169" i="16"/>
  <c r="AJ170" i="16" s="1"/>
  <c r="AJ171" i="16" s="1"/>
  <c r="AH169" i="16"/>
  <c r="AH170" i="16" s="1"/>
  <c r="AH171" i="16" s="1"/>
  <c r="AE169" i="16"/>
  <c r="AE170" i="16" s="1"/>
  <c r="AE171" i="16" s="1"/>
  <c r="AD169" i="16"/>
  <c r="AD170" i="16" s="1"/>
  <c r="AD171" i="16" s="1"/>
  <c r="X169" i="16"/>
  <c r="X170" i="16" s="1"/>
  <c r="X171" i="16" s="1"/>
  <c r="I169" i="16"/>
  <c r="I170" i="16" s="1"/>
  <c r="I171" i="16" s="1"/>
  <c r="AJ161" i="16"/>
  <c r="AJ162" i="16" s="1"/>
  <c r="AJ163" i="16" s="1"/>
  <c r="AJ164" i="16" s="1"/>
  <c r="AJ165" i="16" s="1"/>
  <c r="AJ166" i="16" s="1"/>
  <c r="AH161" i="16"/>
  <c r="AH162" i="16" s="1"/>
  <c r="AH163" i="16" s="1"/>
  <c r="AH164" i="16" s="1"/>
  <c r="AH165" i="16" s="1"/>
  <c r="AH166" i="16" s="1"/>
  <c r="AE161" i="16"/>
  <c r="AE162" i="16" s="1"/>
  <c r="AE163" i="16" s="1"/>
  <c r="AE164" i="16" s="1"/>
  <c r="AE165" i="16" s="1"/>
  <c r="AE166" i="16" s="1"/>
  <c r="AD161" i="16"/>
  <c r="AD162" i="16" s="1"/>
  <c r="AD163" i="16" s="1"/>
  <c r="AD164" i="16" s="1"/>
  <c r="AD165" i="16" s="1"/>
  <c r="AD166" i="16" s="1"/>
  <c r="X161" i="16"/>
  <c r="X162" i="16" s="1"/>
  <c r="X163" i="16" s="1"/>
  <c r="X164" i="16" s="1"/>
  <c r="X165" i="16" s="1"/>
  <c r="X166" i="16" s="1"/>
  <c r="I161" i="16"/>
  <c r="I162" i="16" s="1"/>
  <c r="I163" i="16" s="1"/>
  <c r="I164" i="16" s="1"/>
  <c r="I165" i="16" s="1"/>
  <c r="I166" i="16" s="1"/>
  <c r="AJ150" i="16"/>
  <c r="AJ151" i="16" s="1"/>
  <c r="AJ152" i="16" s="1"/>
  <c r="AJ153" i="16" s="1"/>
  <c r="AJ154" i="16" s="1"/>
  <c r="AJ155" i="16" s="1"/>
  <c r="AH150" i="16"/>
  <c r="AH151" i="16" s="1"/>
  <c r="AH152" i="16" s="1"/>
  <c r="AH153" i="16" s="1"/>
  <c r="AH154" i="16" s="1"/>
  <c r="AH155" i="16" s="1"/>
  <c r="AG150" i="16"/>
  <c r="AG151" i="16" s="1"/>
  <c r="AG152" i="16" s="1"/>
  <c r="AG153" i="16" s="1"/>
  <c r="AG154" i="16" s="1"/>
  <c r="AG155" i="16" s="1"/>
  <c r="AD150" i="16"/>
  <c r="AD151" i="16" s="1"/>
  <c r="AD152" i="16" s="1"/>
  <c r="AD153" i="16" s="1"/>
  <c r="AD154" i="16" s="1"/>
  <c r="AD155" i="16" s="1"/>
  <c r="AC150" i="16"/>
  <c r="AC151" i="16" s="1"/>
  <c r="AC152" i="16" s="1"/>
  <c r="AC153" i="16" s="1"/>
  <c r="AC154" i="16" s="1"/>
  <c r="AC155" i="16" s="1"/>
  <c r="I150" i="16"/>
  <c r="I151" i="16" s="1"/>
  <c r="I152" i="16" s="1"/>
  <c r="I153" i="16" s="1"/>
  <c r="I154" i="16" s="1"/>
  <c r="I155" i="16" s="1"/>
  <c r="AJ145" i="16"/>
  <c r="AJ146" i="16" s="1"/>
  <c r="AJ147" i="16" s="1"/>
  <c r="AH145" i="16"/>
  <c r="AH146" i="16" s="1"/>
  <c r="AH147" i="16" s="1"/>
  <c r="AD145" i="16"/>
  <c r="AD146" i="16" s="1"/>
  <c r="AD147" i="16" s="1"/>
  <c r="AC145" i="16"/>
  <c r="AC146" i="16" s="1"/>
  <c r="AC147" i="16" s="1"/>
  <c r="R145" i="16"/>
  <c r="R146" i="16" s="1"/>
  <c r="R147" i="16" s="1"/>
  <c r="P145" i="16"/>
  <c r="P146" i="16" s="1"/>
  <c r="P147" i="16" s="1"/>
  <c r="N145" i="16"/>
  <c r="N146" i="16" s="1"/>
  <c r="N147" i="16" s="1"/>
  <c r="L145" i="16"/>
  <c r="L146" i="16" s="1"/>
  <c r="L147" i="16" s="1"/>
  <c r="I145" i="16"/>
  <c r="I146" i="16" s="1"/>
  <c r="I147" i="16" s="1"/>
  <c r="R142" i="16"/>
  <c r="P142" i="16"/>
  <c r="N142" i="16"/>
  <c r="L142" i="16"/>
  <c r="R141" i="16"/>
  <c r="P141" i="16"/>
  <c r="N141" i="16"/>
  <c r="L141" i="16"/>
  <c r="R140" i="16"/>
  <c r="P140" i="16"/>
  <c r="N140" i="16"/>
  <c r="L140" i="16"/>
  <c r="Z139" i="16"/>
  <c r="Z140" i="16" s="1"/>
  <c r="Z141" i="16" s="1"/>
  <c r="Z142" i="16" s="1"/>
  <c r="R139" i="16"/>
  <c r="P139" i="16"/>
  <c r="N139" i="16"/>
  <c r="L139" i="16"/>
  <c r="R138" i="16"/>
  <c r="P138" i="16"/>
  <c r="N138" i="16"/>
  <c r="L138" i="16"/>
  <c r="AJ137" i="16"/>
  <c r="AJ138" i="16" s="1"/>
  <c r="AJ139" i="16" s="1"/>
  <c r="AJ140" i="16" s="1"/>
  <c r="AJ141" i="16" s="1"/>
  <c r="AJ142" i="16" s="1"/>
  <c r="AH137" i="16"/>
  <c r="AH138" i="16" s="1"/>
  <c r="AH139" i="16" s="1"/>
  <c r="AH140" i="16" s="1"/>
  <c r="AH141" i="16" s="1"/>
  <c r="AH142" i="16" s="1"/>
  <c r="AD137" i="16"/>
  <c r="AD138" i="16" s="1"/>
  <c r="AD139" i="16" s="1"/>
  <c r="AD140" i="16" s="1"/>
  <c r="AD141" i="16" s="1"/>
  <c r="AD142" i="16" s="1"/>
  <c r="AC137" i="16"/>
  <c r="AC138" i="16" s="1"/>
  <c r="AC139" i="16" s="1"/>
  <c r="AC140" i="16" s="1"/>
  <c r="AC141" i="16" s="1"/>
  <c r="AC142" i="16" s="1"/>
  <c r="R137" i="16"/>
  <c r="P137" i="16"/>
  <c r="N137" i="16"/>
  <c r="L137" i="16"/>
  <c r="I137" i="16"/>
  <c r="I138" i="16" s="1"/>
  <c r="I139" i="16" s="1"/>
  <c r="I140" i="16" s="1"/>
  <c r="I141" i="16" s="1"/>
  <c r="I142" i="16" s="1"/>
  <c r="AG131" i="16"/>
  <c r="AG132" i="16" s="1"/>
  <c r="AG133" i="16" s="1"/>
  <c r="AG134" i="16" s="1"/>
  <c r="AD131" i="16"/>
  <c r="AD132" i="16" s="1"/>
  <c r="AD133" i="16" s="1"/>
  <c r="AD134" i="16" s="1"/>
  <c r="R131" i="16"/>
  <c r="R132" i="16" s="1"/>
  <c r="R133" i="16" s="1"/>
  <c r="R134" i="16" s="1"/>
  <c r="P131" i="16"/>
  <c r="P132" i="16" s="1"/>
  <c r="P133" i="16" s="1"/>
  <c r="P134" i="16" s="1"/>
  <c r="N131" i="16"/>
  <c r="N132" i="16" s="1"/>
  <c r="N133" i="16" s="1"/>
  <c r="N134" i="16" s="1"/>
  <c r="L131" i="16"/>
  <c r="L132" i="16" s="1"/>
  <c r="L133" i="16" s="1"/>
  <c r="L134" i="16" s="1"/>
  <c r="AJ130" i="16"/>
  <c r="AJ131" i="16" s="1"/>
  <c r="AJ132" i="16" s="1"/>
  <c r="AJ133" i="16" s="1"/>
  <c r="AJ134" i="16" s="1"/>
  <c r="AH130" i="16"/>
  <c r="AH131" i="16" s="1"/>
  <c r="AH132" i="16" s="1"/>
  <c r="AH133" i="16" s="1"/>
  <c r="AH134" i="16" s="1"/>
  <c r="I130" i="16"/>
  <c r="I131" i="16" s="1"/>
  <c r="I132" i="16" s="1"/>
  <c r="I133" i="16" s="1"/>
  <c r="I134" i="16" s="1"/>
  <c r="AJ127" i="16"/>
  <c r="AD124" i="16"/>
  <c r="Y124" i="16"/>
  <c r="R124" i="16"/>
  <c r="Q124" i="16"/>
  <c r="P124" i="16"/>
  <c r="O124" i="16"/>
  <c r="AJ123" i="16"/>
  <c r="AJ124" i="16" s="1"/>
  <c r="AH123" i="16"/>
  <c r="AH124" i="16" s="1"/>
  <c r="AD123" i="16"/>
  <c r="Y123" i="16"/>
  <c r="R123" i="16"/>
  <c r="Q123" i="16"/>
  <c r="P123" i="16"/>
  <c r="O123" i="16"/>
  <c r="AH117" i="16"/>
  <c r="AH118" i="16" s="1"/>
  <c r="AH119" i="16" s="1"/>
  <c r="AH120" i="16" s="1"/>
  <c r="I117" i="16"/>
  <c r="I118" i="16" s="1"/>
  <c r="I119" i="16" s="1"/>
  <c r="I120" i="16" s="1"/>
  <c r="AH116" i="16"/>
  <c r="T116" i="16"/>
  <c r="I116" i="16"/>
  <c r="AH115" i="16"/>
  <c r="AD115" i="16"/>
  <c r="AD116" i="16" s="1"/>
  <c r="AD117" i="16" s="1"/>
  <c r="AD118" i="16" s="1"/>
  <c r="AD119" i="16" s="1"/>
  <c r="AD120" i="16" s="1"/>
  <c r="P115" i="16"/>
  <c r="P116" i="16" s="1"/>
  <c r="P117" i="16" s="1"/>
  <c r="P118" i="16" s="1"/>
  <c r="P119" i="16" s="1"/>
  <c r="P120" i="16" s="1"/>
  <c r="N115" i="16"/>
  <c r="L115" i="16"/>
  <c r="I115" i="16"/>
  <c r="AJ114" i="16"/>
  <c r="AJ115" i="16" s="1"/>
  <c r="AJ116" i="16" s="1"/>
  <c r="AJ117" i="16" s="1"/>
  <c r="AJ118" i="16" s="1"/>
  <c r="AJ119" i="16" s="1"/>
  <c r="AJ120" i="16" s="1"/>
  <c r="AH114" i="16"/>
  <c r="R114" i="16"/>
  <c r="R116" i="16" s="1"/>
  <c r="R117" i="16" s="1"/>
  <c r="R118" i="16" s="1"/>
  <c r="R119" i="16" s="1"/>
  <c r="R120" i="16" s="1"/>
  <c r="N114" i="16"/>
  <c r="N116" i="16" s="1"/>
  <c r="N117" i="16" s="1"/>
  <c r="N118" i="16" s="1"/>
  <c r="N119" i="16" s="1"/>
  <c r="N120" i="16" s="1"/>
  <c r="L114" i="16"/>
  <c r="L116" i="16" s="1"/>
  <c r="L117" i="16" s="1"/>
  <c r="L118" i="16" s="1"/>
  <c r="L119" i="16" s="1"/>
  <c r="L120" i="16" s="1"/>
  <c r="I114" i="16"/>
  <c r="I111" i="16"/>
  <c r="R110" i="16"/>
  <c r="R111" i="16" s="1"/>
  <c r="I110" i="16"/>
  <c r="AG109" i="16"/>
  <c r="AG110" i="16" s="1"/>
  <c r="AG111" i="16" s="1"/>
  <c r="I109" i="16"/>
  <c r="AJ108" i="16"/>
  <c r="AJ109" i="16" s="1"/>
  <c r="AJ110" i="16" s="1"/>
  <c r="AJ111" i="16" s="1"/>
  <c r="AH108" i="16"/>
  <c r="AH109" i="16" s="1"/>
  <c r="AH110" i="16" s="1"/>
  <c r="AH111" i="16" s="1"/>
  <c r="AD108" i="16"/>
  <c r="AD109" i="16" s="1"/>
  <c r="AD110" i="16" s="1"/>
  <c r="AD111" i="16" s="1"/>
  <c r="Q108" i="16"/>
  <c r="Q109" i="16" s="1"/>
  <c r="Q110" i="16" s="1"/>
  <c r="Q111" i="16" s="1"/>
  <c r="P108" i="16"/>
  <c r="P109" i="16" s="1"/>
  <c r="P110" i="16" s="1"/>
  <c r="P111" i="16" s="1"/>
  <c r="O108" i="16"/>
  <c r="O109" i="16" s="1"/>
  <c r="O110" i="16" s="1"/>
  <c r="O111" i="16" s="1"/>
  <c r="I108" i="16"/>
  <c r="I105" i="16"/>
  <c r="R104" i="16"/>
  <c r="R105" i="16" s="1"/>
  <c r="I104" i="16"/>
  <c r="I103" i="16"/>
  <c r="P102" i="16"/>
  <c r="P103" i="16" s="1"/>
  <c r="P104" i="16" s="1"/>
  <c r="P105" i="16" s="1"/>
  <c r="I102" i="16"/>
  <c r="AJ101" i="16"/>
  <c r="AJ102" i="16" s="1"/>
  <c r="AJ103" i="16" s="1"/>
  <c r="AJ104" i="16" s="1"/>
  <c r="AJ105" i="16" s="1"/>
  <c r="AH101" i="16"/>
  <c r="AH102" i="16" s="1"/>
  <c r="AH103" i="16" s="1"/>
  <c r="AH104" i="16" s="1"/>
  <c r="AH105" i="16" s="1"/>
  <c r="AD101" i="16"/>
  <c r="AD102" i="16" s="1"/>
  <c r="AD103" i="16" s="1"/>
  <c r="AD104" i="16" s="1"/>
  <c r="AD105" i="16" s="1"/>
  <c r="Q101" i="16"/>
  <c r="Q102" i="16" s="1"/>
  <c r="Q103" i="16" s="1"/>
  <c r="Q104" i="16" s="1"/>
  <c r="Q105" i="16" s="1"/>
  <c r="O101" i="16"/>
  <c r="O102" i="16" s="1"/>
  <c r="O103" i="16" s="1"/>
  <c r="O104" i="16" s="1"/>
  <c r="O105" i="16" s="1"/>
  <c r="I101" i="16"/>
  <c r="AJ97" i="16"/>
  <c r="AJ98" i="16" s="1"/>
  <c r="AH97" i="16"/>
  <c r="AH98" i="16" s="1"/>
  <c r="AD97" i="16"/>
  <c r="AD98" i="16" s="1"/>
  <c r="AC97" i="16"/>
  <c r="AC98" i="16" s="1"/>
  <c r="Q97" i="16"/>
  <c r="Q98" i="16" s="1"/>
  <c r="O97" i="16"/>
  <c r="O98" i="16" s="1"/>
  <c r="N97" i="16"/>
  <c r="N98" i="16" s="1"/>
  <c r="L97" i="16"/>
  <c r="L98" i="16" s="1"/>
  <c r="I97" i="16"/>
  <c r="I98" i="16" s="1"/>
  <c r="AJ93" i="16"/>
  <c r="AJ94" i="16" s="1"/>
  <c r="AH93" i="16"/>
  <c r="AH94" i="16" s="1"/>
  <c r="AD93" i="16"/>
  <c r="AD94" i="16" s="1"/>
  <c r="AC93" i="16"/>
  <c r="AC94" i="16" s="1"/>
  <c r="W93" i="16"/>
  <c r="W94" i="16" s="1"/>
  <c r="T93" i="16"/>
  <c r="T94" i="16" s="1"/>
  <c r="Q93" i="16"/>
  <c r="Q94" i="16" s="1"/>
  <c r="O93" i="16"/>
  <c r="O94" i="16" s="1"/>
  <c r="N93" i="16"/>
  <c r="N94" i="16" s="1"/>
  <c r="L93" i="16"/>
  <c r="L94" i="16" s="1"/>
  <c r="I93" i="16"/>
  <c r="I94" i="16" s="1"/>
  <c r="N90" i="16"/>
  <c r="N91" i="16" s="1"/>
  <c r="L90" i="16"/>
  <c r="L91" i="16" s="1"/>
  <c r="AJ89" i="16"/>
  <c r="AJ90" i="16" s="1"/>
  <c r="AJ91" i="16" s="1"/>
  <c r="AH89" i="16"/>
  <c r="AH90" i="16" s="1"/>
  <c r="AH91" i="16" s="1"/>
  <c r="AD89" i="16"/>
  <c r="AD90" i="16" s="1"/>
  <c r="AD91" i="16" s="1"/>
  <c r="AC89" i="16"/>
  <c r="AC90" i="16" s="1"/>
  <c r="AC91" i="16" s="1"/>
  <c r="W89" i="16"/>
  <c r="W90" i="16" s="1"/>
  <c r="W91" i="16" s="1"/>
  <c r="T89" i="16"/>
  <c r="T90" i="16" s="1"/>
  <c r="T91" i="16" s="1"/>
  <c r="Q89" i="16"/>
  <c r="Q90" i="16" s="1"/>
  <c r="Q91" i="16" s="1"/>
  <c r="O89" i="16"/>
  <c r="O90" i="16" s="1"/>
  <c r="O91" i="16" s="1"/>
  <c r="N89" i="16"/>
  <c r="L89" i="16"/>
  <c r="I89" i="16"/>
  <c r="I90" i="16" s="1"/>
  <c r="I91" i="16" s="1"/>
  <c r="AJ87" i="16"/>
  <c r="AH87" i="16"/>
  <c r="AD87" i="16"/>
  <c r="AC87" i="16"/>
  <c r="W87" i="16"/>
  <c r="Q87" i="16"/>
  <c r="O87" i="16"/>
  <c r="N87" i="16"/>
  <c r="L87" i="16"/>
  <c r="I87" i="16"/>
  <c r="AJ85" i="16"/>
  <c r="AH85" i="16"/>
  <c r="AD85" i="16"/>
  <c r="AC85" i="16"/>
  <c r="Q85" i="16"/>
  <c r="O85" i="16"/>
  <c r="N85" i="16"/>
  <c r="L85" i="16"/>
  <c r="I85" i="16"/>
  <c r="AJ78" i="16"/>
  <c r="AJ79" i="16" s="1"/>
  <c r="AH78" i="16"/>
  <c r="AH79" i="16" s="1"/>
  <c r="I78" i="16"/>
  <c r="I79" i="16" s="1"/>
  <c r="AJ75" i="16"/>
  <c r="AH75" i="16"/>
  <c r="AD75" i="16"/>
  <c r="R75" i="16"/>
  <c r="Q75" i="16"/>
  <c r="P75" i="16"/>
  <c r="O75" i="16"/>
  <c r="AJ71" i="16"/>
  <c r="AJ72" i="16" s="1"/>
  <c r="AJ73" i="16" s="1"/>
  <c r="AH71" i="16"/>
  <c r="AH72" i="16" s="1"/>
  <c r="AH73" i="16" s="1"/>
  <c r="AD71" i="16"/>
  <c r="AD72" i="16" s="1"/>
  <c r="AD73" i="16" s="1"/>
  <c r="Q71" i="16"/>
  <c r="Q72" i="16" s="1"/>
  <c r="Q73" i="16" s="1"/>
  <c r="O71" i="16"/>
  <c r="O72" i="16" s="1"/>
  <c r="O73" i="16" s="1"/>
  <c r="I71" i="16"/>
  <c r="I72" i="16" s="1"/>
  <c r="I73" i="16" s="1"/>
  <c r="AJ65" i="16"/>
  <c r="AJ66" i="16" s="1"/>
  <c r="AJ67" i="16" s="1"/>
  <c r="AJ68" i="16" s="1"/>
  <c r="AH65" i="16"/>
  <c r="AH66" i="16" s="1"/>
  <c r="AH67" i="16" s="1"/>
  <c r="AH68" i="16" s="1"/>
  <c r="Q65" i="16"/>
  <c r="Q66" i="16" s="1"/>
  <c r="Q67" i="16" s="1"/>
  <c r="Q68" i="16" s="1"/>
  <c r="O65" i="16"/>
  <c r="O66" i="16" s="1"/>
  <c r="O67" i="16" s="1"/>
  <c r="O68" i="16" s="1"/>
  <c r="AJ64" i="16"/>
  <c r="AH64" i="16"/>
  <c r="O64" i="16"/>
  <c r="W59" i="16"/>
  <c r="AJ58" i="16"/>
  <c r="AJ59" i="16" s="1"/>
  <c r="AJ60" i="16" s="1"/>
  <c r="AJ61" i="16" s="1"/>
  <c r="AH58" i="16"/>
  <c r="W58" i="16"/>
  <c r="W60" i="16" s="1"/>
  <c r="W61" i="16" s="1"/>
  <c r="T58" i="16"/>
  <c r="Q58" i="16"/>
  <c r="O58" i="16"/>
  <c r="AJ55" i="16"/>
  <c r="AH55" i="16"/>
  <c r="W55" i="16"/>
  <c r="T55" i="16"/>
  <c r="Q55" i="16"/>
  <c r="O55" i="16"/>
  <c r="J55" i="16"/>
  <c r="AJ50" i="16"/>
  <c r="AJ51" i="16" s="1"/>
  <c r="AJ52" i="16" s="1"/>
  <c r="AJ53" i="16" s="1"/>
  <c r="AH50" i="16"/>
  <c r="AH51" i="16" s="1"/>
  <c r="AH52" i="16" s="1"/>
  <c r="AH53" i="16" s="1"/>
  <c r="W50" i="16"/>
  <c r="W51" i="16" s="1"/>
  <c r="W52" i="16" s="1"/>
  <c r="W53" i="16" s="1"/>
  <c r="T50" i="16"/>
  <c r="T51" i="16" s="1"/>
  <c r="T52" i="16" s="1"/>
  <c r="T53" i="16" s="1"/>
  <c r="Q50" i="16"/>
  <c r="Q51" i="16" s="1"/>
  <c r="Q52" i="16" s="1"/>
  <c r="Q53" i="16" s="1"/>
  <c r="O50" i="16"/>
  <c r="O51" i="16" s="1"/>
  <c r="O52" i="16" s="1"/>
  <c r="O53" i="16" s="1"/>
  <c r="J47" i="16"/>
  <c r="AJ46" i="16"/>
  <c r="AJ47" i="16" s="1"/>
  <c r="AH46" i="16"/>
  <c r="AH47" i="16" s="1"/>
  <c r="T46" i="16"/>
  <c r="T47" i="16" s="1"/>
  <c r="Q46" i="16"/>
  <c r="Q47" i="16" s="1"/>
  <c r="O46" i="16"/>
  <c r="O47" i="16" s="1"/>
  <c r="T43" i="16"/>
  <c r="T44" i="16" s="1"/>
  <c r="T45" i="16" s="1"/>
  <c r="T39" i="16"/>
  <c r="T40" i="16" s="1"/>
  <c r="T41" i="16" s="1"/>
  <c r="T42" i="16" s="1"/>
  <c r="W38" i="16"/>
  <c r="W39" i="16" s="1"/>
  <c r="T38" i="16"/>
  <c r="T37" i="16"/>
  <c r="Q37" i="16"/>
  <c r="Q38" i="16" s="1"/>
  <c r="O37" i="16"/>
  <c r="O38" i="16" s="1"/>
  <c r="AJ36" i="16"/>
  <c r="AJ37" i="16" s="1"/>
  <c r="AJ38" i="16" s="1"/>
  <c r="AJ39" i="16" s="1"/>
  <c r="AH36" i="16"/>
  <c r="AH37" i="16" s="1"/>
  <c r="AH38" i="16" s="1"/>
  <c r="AH39" i="16" s="1"/>
  <c r="T36" i="16"/>
  <c r="Q36" i="16"/>
  <c r="O36" i="16"/>
  <c r="AJ35" i="16"/>
  <c r="AH35" i="16"/>
  <c r="T35" i="16"/>
  <c r="Q35" i="16"/>
  <c r="O35" i="16"/>
  <c r="AH26" i="16"/>
  <c r="AH27" i="16" s="1"/>
  <c r="AH28" i="16" s="1"/>
  <c r="AH29" i="16" s="1"/>
  <c r="W26" i="16"/>
  <c r="W27" i="16" s="1"/>
  <c r="W28" i="16" s="1"/>
  <c r="W29" i="16" s="1"/>
  <c r="S26" i="16"/>
  <c r="S27" i="16" s="1"/>
  <c r="S28" i="16" s="1"/>
  <c r="S29" i="16" s="1"/>
  <c r="Q26" i="16"/>
  <c r="Q27" i="16" s="1"/>
  <c r="Q28" i="16" s="1"/>
  <c r="Q29" i="16" s="1"/>
  <c r="O26" i="16"/>
  <c r="O27" i="16" s="1"/>
  <c r="O28" i="16" s="1"/>
  <c r="O29" i="16" s="1"/>
  <c r="J26" i="16"/>
  <c r="J27" i="16" s="1"/>
  <c r="J28" i="16" s="1"/>
  <c r="J29" i="16" s="1"/>
  <c r="I26" i="16"/>
  <c r="I27" i="16" s="1"/>
  <c r="I28" i="16" s="1"/>
  <c r="I29" i="16" s="1"/>
  <c r="AH15" i="16"/>
  <c r="AH16" i="16" s="1"/>
  <c r="AH17" i="16" s="1"/>
  <c r="AH18" i="16" s="1"/>
  <c r="AH19" i="16" s="1"/>
  <c r="AH20" i="16" s="1"/>
  <c r="AH21" i="16" s="1"/>
  <c r="AH22" i="16" s="1"/>
  <c r="AH23" i="16" s="1"/>
  <c r="W15" i="16"/>
  <c r="W16" i="16" s="1"/>
  <c r="W17" i="16" s="1"/>
  <c r="W18" i="16" s="1"/>
  <c r="W19" i="16" s="1"/>
  <c r="W20" i="16" s="1"/>
  <c r="W21" i="16" s="1"/>
  <c r="W22" i="16" s="1"/>
  <c r="W23" i="16" s="1"/>
  <c r="S15" i="16"/>
  <c r="S16" i="16" s="1"/>
  <c r="S17" i="16" s="1"/>
  <c r="S18" i="16" s="1"/>
  <c r="S19" i="16" s="1"/>
  <c r="S20" i="16" s="1"/>
  <c r="S21" i="16" s="1"/>
  <c r="S22" i="16" s="1"/>
  <c r="S23" i="16" s="1"/>
  <c r="Q15" i="16"/>
  <c r="Q16" i="16" s="1"/>
  <c r="Q17" i="16" s="1"/>
  <c r="Q18" i="16" s="1"/>
  <c r="Q19" i="16" s="1"/>
  <c r="Q20" i="16" s="1"/>
  <c r="Q21" i="16" s="1"/>
  <c r="Q22" i="16" s="1"/>
  <c r="Q23" i="16" s="1"/>
  <c r="O15" i="16"/>
  <c r="O16" i="16" s="1"/>
  <c r="O17" i="16" s="1"/>
  <c r="O18" i="16" s="1"/>
  <c r="O19" i="16" s="1"/>
  <c r="O20" i="16" s="1"/>
  <c r="O21" i="16" s="1"/>
  <c r="O22" i="16" s="1"/>
  <c r="O23" i="16" s="1"/>
  <c r="J15" i="16"/>
  <c r="J16" i="16" s="1"/>
  <c r="J17" i="16" s="1"/>
  <c r="J18" i="16" s="1"/>
  <c r="J19" i="16" s="1"/>
  <c r="J20" i="16" s="1"/>
  <c r="J21" i="16" s="1"/>
  <c r="J22" i="16" s="1"/>
  <c r="J23" i="16" s="1"/>
  <c r="I15" i="16"/>
  <c r="I16" i="16" s="1"/>
  <c r="I17" i="16" s="1"/>
  <c r="I18" i="16" s="1"/>
  <c r="I19" i="16" s="1"/>
  <c r="I20" i="16" s="1"/>
  <c r="I21" i="16" s="1"/>
  <c r="I22" i="16" s="1"/>
  <c r="I23" i="16" s="1"/>
  <c r="O6" i="16"/>
  <c r="O9" i="16" s="1"/>
  <c r="O12" i="16" s="1"/>
  <c r="O5" i="16"/>
  <c r="O8" i="16" s="1"/>
  <c r="O11" i="16" s="1"/>
  <c r="AH4" i="16"/>
  <c r="AH5" i="16" s="1"/>
  <c r="AH6" i="16" s="1"/>
  <c r="AH7" i="16" s="1"/>
  <c r="AH8" i="16" s="1"/>
  <c r="AH9" i="16" s="1"/>
  <c r="AH10" i="16" s="1"/>
  <c r="AH11" i="16" s="1"/>
  <c r="AH12" i="16" s="1"/>
  <c r="W4" i="16"/>
  <c r="W5" i="16" s="1"/>
  <c r="W6" i="16" s="1"/>
  <c r="W7" i="16" s="1"/>
  <c r="W8" i="16" s="1"/>
  <c r="W9" i="16" s="1"/>
  <c r="W10" i="16" s="1"/>
  <c r="W11" i="16" s="1"/>
  <c r="W12" i="16" s="1"/>
  <c r="S4" i="16"/>
  <c r="S5" i="16" s="1"/>
  <c r="S6" i="16" s="1"/>
  <c r="S7" i="16" s="1"/>
  <c r="S8" i="16" s="1"/>
  <c r="S9" i="16" s="1"/>
  <c r="S10" i="16" s="1"/>
  <c r="S11" i="16" s="1"/>
  <c r="S12" i="16" s="1"/>
  <c r="Q4" i="16"/>
  <c r="Q5" i="16" s="1"/>
  <c r="Q6" i="16" s="1"/>
  <c r="Q7" i="16" s="1"/>
  <c r="Q8" i="16" s="1"/>
  <c r="Q9" i="16" s="1"/>
  <c r="Q10" i="16" s="1"/>
  <c r="Q11" i="16" s="1"/>
  <c r="Q12" i="16" s="1"/>
  <c r="O4" i="16"/>
  <c r="O7" i="16" s="1"/>
  <c r="O10" i="16" s="1"/>
  <c r="J4" i="16"/>
  <c r="J5" i="16" s="1"/>
  <c r="J6" i="16" s="1"/>
  <c r="J7" i="16" s="1"/>
  <c r="J8" i="16" s="1"/>
  <c r="J9" i="16" s="1"/>
  <c r="J10" i="16" s="1"/>
  <c r="J11" i="16" s="1"/>
  <c r="J12" i="16" s="1"/>
  <c r="I4" i="16"/>
  <c r="I5" i="16" s="1"/>
  <c r="I6" i="16" s="1"/>
  <c r="I7" i="16" s="1"/>
  <c r="I8" i="16" s="1"/>
  <c r="I9" i="16" s="1"/>
  <c r="I10" i="16" s="1"/>
  <c r="I11" i="16" s="1"/>
  <c r="I12" i="16" s="1"/>
  <c r="G271" i="15"/>
  <c r="G272" i="15" s="1"/>
  <c r="G273" i="15" s="1"/>
  <c r="G274" i="15" s="1"/>
  <c r="G275" i="15" s="1"/>
  <c r="G276" i="15" s="1"/>
  <c r="M314" i="15"/>
  <c r="M315" i="15" s="1"/>
  <c r="G243" i="15"/>
  <c r="G244" i="15" s="1"/>
  <c r="G239" i="15"/>
  <c r="G240" i="15" s="1"/>
  <c r="G235" i="15"/>
  <c r="G236" i="15" s="1"/>
  <c r="G231" i="15"/>
  <c r="G232" i="15" s="1"/>
  <c r="G227" i="15"/>
  <c r="G228" i="15" s="1"/>
  <c r="G262" i="15"/>
  <c r="G259" i="15"/>
  <c r="G256" i="15"/>
  <c r="G253" i="15"/>
  <c r="G250" i="15"/>
  <c r="G247" i="15"/>
  <c r="G223" i="15"/>
  <c r="G224" i="15" s="1"/>
  <c r="H226" i="15"/>
  <c r="H230" i="15" s="1"/>
  <c r="H234" i="15" s="1"/>
  <c r="H238" i="15" s="1"/>
  <c r="H242" i="15" s="1"/>
  <c r="I226" i="15"/>
  <c r="I230" i="15" s="1"/>
  <c r="I234" i="15" s="1"/>
  <c r="I238" i="15" s="1"/>
  <c r="I242" i="15" s="1"/>
  <c r="N243" i="15"/>
  <c r="N244" i="15" s="1"/>
  <c r="N239" i="15"/>
  <c r="N240" i="15" s="1"/>
  <c r="N235" i="15"/>
  <c r="N236" i="15" s="1"/>
  <c r="N231" i="15"/>
  <c r="N232" i="15" s="1"/>
  <c r="N227" i="15"/>
  <c r="N228" i="15" s="1"/>
  <c r="N223" i="15"/>
  <c r="N224" i="15" s="1"/>
  <c r="O265" i="15"/>
  <c r="O249" i="15"/>
  <c r="O247" i="15"/>
  <c r="O226" i="15"/>
  <c r="O223" i="15"/>
  <c r="O224" i="15" s="1"/>
  <c r="I223" i="15"/>
  <c r="I224" i="15" s="1"/>
  <c r="H223" i="15"/>
  <c r="H224" i="15" s="1"/>
  <c r="L90" i="15"/>
  <c r="L91" i="15" s="1"/>
  <c r="L92" i="15" s="1"/>
  <c r="I90" i="15"/>
  <c r="I91" i="15" s="1"/>
  <c r="I92" i="15" s="1"/>
  <c r="H90" i="15"/>
  <c r="H91" i="15" s="1"/>
  <c r="H92" i="15" s="1"/>
  <c r="L86" i="15"/>
  <c r="L87" i="15" s="1"/>
  <c r="I86" i="15"/>
  <c r="I87" i="15" s="1"/>
  <c r="H86" i="15"/>
  <c r="H87" i="15" s="1"/>
  <c r="L77" i="15"/>
  <c r="L78" i="15" s="1"/>
  <c r="L79" i="15" s="1"/>
  <c r="I77" i="15"/>
  <c r="I78" i="15" s="1"/>
  <c r="I79" i="15" s="1"/>
  <c r="H77" i="15"/>
  <c r="H78" i="15" s="1"/>
  <c r="H79" i="15" s="1"/>
  <c r="J70" i="15"/>
  <c r="J71" i="15" s="1"/>
  <c r="J72" i="15" s="1"/>
  <c r="J73" i="15" s="1"/>
  <c r="J74" i="15" s="1"/>
  <c r="I69" i="15"/>
  <c r="I70" i="15" s="1"/>
  <c r="I71" i="15" s="1"/>
  <c r="I72" i="15" s="1"/>
  <c r="I73" i="15" s="1"/>
  <c r="I74" i="15" s="1"/>
  <c r="H69" i="15"/>
  <c r="H70" i="15" s="1"/>
  <c r="H71" i="15" s="1"/>
  <c r="H72" i="15" s="1"/>
  <c r="H73" i="15" s="1"/>
  <c r="H74" i="15" s="1"/>
  <c r="J64" i="15"/>
  <c r="J65" i="15" s="1"/>
  <c r="J66" i="15" s="1"/>
  <c r="J67" i="15" s="1"/>
  <c r="J68" i="15" s="1"/>
  <c r="I64" i="15"/>
  <c r="I65" i="15" s="1"/>
  <c r="I66" i="15" s="1"/>
  <c r="I67" i="15" s="1"/>
  <c r="I68" i="15" s="1"/>
  <c r="H64" i="15"/>
  <c r="H65" i="15" s="1"/>
  <c r="H66" i="15" s="1"/>
  <c r="H67" i="15" s="1"/>
  <c r="H68" i="15" s="1"/>
  <c r="L60" i="15"/>
  <c r="L61" i="15" s="1"/>
  <c r="L62" i="15" s="1"/>
  <c r="I60" i="15"/>
  <c r="I61" i="15" s="1"/>
  <c r="H60" i="15"/>
  <c r="H61" i="15" s="1"/>
  <c r="J53" i="15"/>
  <c r="J54" i="15" s="1"/>
  <c r="J55" i="15" s="1"/>
  <c r="J56" i="15" s="1"/>
  <c r="J57" i="15" s="1"/>
  <c r="L49" i="15"/>
  <c r="L50" i="15" s="1"/>
  <c r="L51" i="15" s="1"/>
  <c r="L52" i="15" s="1"/>
  <c r="L53" i="15" s="1"/>
  <c r="L54" i="15" s="1"/>
  <c r="L55" i="15" s="1"/>
  <c r="L56" i="15" s="1"/>
  <c r="L57" i="15" s="1"/>
  <c r="I49" i="15"/>
  <c r="I50" i="15" s="1"/>
  <c r="I51" i="15" s="1"/>
  <c r="I52" i="15" s="1"/>
  <c r="I53" i="15" s="1"/>
  <c r="I54" i="15" s="1"/>
  <c r="I55" i="15" s="1"/>
  <c r="I56" i="15" s="1"/>
  <c r="I57" i="15" s="1"/>
  <c r="H49" i="15"/>
  <c r="H50" i="15" s="1"/>
  <c r="H51" i="15" s="1"/>
  <c r="H52" i="15" s="1"/>
  <c r="H53" i="15" s="1"/>
  <c r="H54" i="15" s="1"/>
  <c r="H55" i="15" s="1"/>
  <c r="H56" i="15" s="1"/>
  <c r="H57" i="15" s="1"/>
  <c r="G202" i="15"/>
  <c r="G203" i="15" s="1"/>
  <c r="G204" i="15" s="1"/>
  <c r="G205" i="15" s="1"/>
  <c r="G206" i="15" s="1"/>
  <c r="J202" i="15"/>
  <c r="J203" i="15" s="1"/>
  <c r="J204" i="15" s="1"/>
  <c r="J205" i="15" s="1"/>
  <c r="J206" i="15" s="1"/>
  <c r="K202" i="15"/>
  <c r="K203" i="15" s="1"/>
  <c r="K204" i="15" s="1"/>
  <c r="K205" i="15" s="1"/>
  <c r="K206" i="15" s="1"/>
  <c r="G192" i="15"/>
  <c r="J183" i="15"/>
  <c r="J150" i="15"/>
  <c r="J142" i="15"/>
  <c r="J143" i="15" s="1"/>
  <c r="J144" i="15" s="1"/>
  <c r="J145" i="15" s="1"/>
  <c r="J137" i="15"/>
  <c r="J138" i="15" s="1"/>
  <c r="J139" i="15" s="1"/>
  <c r="K194" i="15"/>
  <c r="K195" i="15" s="1"/>
  <c r="J131" i="15"/>
  <c r="J128" i="15"/>
  <c r="J181" i="15" s="1"/>
  <c r="K198" i="15"/>
  <c r="K199" i="15" s="1"/>
  <c r="G198" i="15"/>
  <c r="G199" i="15" s="1"/>
  <c r="J198" i="15"/>
  <c r="J199" i="15" s="1"/>
  <c r="I193" i="15"/>
  <c r="I194" i="15" s="1"/>
  <c r="I195" i="15" s="1"/>
  <c r="I198" i="15"/>
  <c r="I199" i="15" s="1"/>
  <c r="J193" i="15"/>
  <c r="J194" i="15" s="1"/>
  <c r="J195" i="15" s="1"/>
  <c r="H198" i="15"/>
  <c r="H199" i="15" s="1"/>
  <c r="H192" i="15"/>
  <c r="G195" i="15"/>
  <c r="G194" i="15"/>
  <c r="G193" i="15"/>
  <c r="H183" i="15"/>
  <c r="H181" i="15"/>
  <c r="H173" i="15"/>
  <c r="H165" i="15"/>
  <c r="G183" i="15"/>
  <c r="G181" i="15"/>
  <c r="G165" i="15"/>
  <c r="G150" i="15"/>
  <c r="G142" i="15"/>
  <c r="G143" i="15" s="1"/>
  <c r="G144" i="15" s="1"/>
  <c r="G145" i="15" s="1"/>
  <c r="H142" i="15"/>
  <c r="H143" i="15" s="1"/>
  <c r="H144" i="15" s="1"/>
  <c r="H145" i="15" s="1"/>
  <c r="H131" i="15"/>
  <c r="G131" i="15"/>
  <c r="H137" i="15"/>
  <c r="H121" i="15"/>
  <c r="H113" i="15"/>
  <c r="G113" i="15"/>
  <c r="J112" i="15"/>
  <c r="I108" i="15"/>
  <c r="I109" i="15" s="1"/>
  <c r="I110" i="15" s="1"/>
  <c r="J98" i="15"/>
  <c r="I98" i="15"/>
  <c r="I99" i="15" s="1"/>
  <c r="I100" i="15" s="1"/>
  <c r="I101" i="15" s="1"/>
  <c r="I102" i="15" s="1"/>
  <c r="I103" i="15" s="1"/>
  <c r="I104" i="15" s="1"/>
  <c r="I105" i="15" s="1"/>
  <c r="G98" i="15"/>
  <c r="M28" i="15"/>
  <c r="M29" i="15" s="1"/>
  <c r="M30" i="15" s="1"/>
  <c r="M31" i="15" s="1"/>
  <c r="L28" i="15"/>
  <c r="L29" i="15" s="1"/>
  <c r="L30" i="15" s="1"/>
  <c r="L31" i="15" s="1"/>
  <c r="K28" i="15"/>
  <c r="K29" i="15" s="1"/>
  <c r="K30" i="15" s="1"/>
  <c r="K31" i="15" s="1"/>
  <c r="J28" i="15"/>
  <c r="J29" i="15" s="1"/>
  <c r="J30" i="15" s="1"/>
  <c r="J31" i="15" s="1"/>
  <c r="I28" i="15"/>
  <c r="I29" i="15" s="1"/>
  <c r="I30" i="15" s="1"/>
  <c r="I31" i="15" s="1"/>
  <c r="H28" i="15"/>
  <c r="H29" i="15" s="1"/>
  <c r="H30" i="15" s="1"/>
  <c r="H31" i="15" s="1"/>
  <c r="G28" i="15"/>
  <c r="G29" i="15" s="1"/>
  <c r="G30" i="15" s="1"/>
  <c r="G31" i="15" s="1"/>
  <c r="M17" i="15"/>
  <c r="M18" i="15" s="1"/>
  <c r="M19" i="15" s="1"/>
  <c r="M20" i="15" s="1"/>
  <c r="M21" i="15" s="1"/>
  <c r="M22" i="15" s="1"/>
  <c r="M23" i="15" s="1"/>
  <c r="M24" i="15" s="1"/>
  <c r="M25" i="15" s="1"/>
  <c r="L17" i="15"/>
  <c r="L18" i="15" s="1"/>
  <c r="L19" i="15" s="1"/>
  <c r="L20" i="15" s="1"/>
  <c r="L21" i="15" s="1"/>
  <c r="L22" i="15" s="1"/>
  <c r="L23" i="15" s="1"/>
  <c r="L24" i="15" s="1"/>
  <c r="L25" i="15" s="1"/>
  <c r="K17" i="15"/>
  <c r="K18" i="15" s="1"/>
  <c r="K19" i="15" s="1"/>
  <c r="K20" i="15" s="1"/>
  <c r="K21" i="15" s="1"/>
  <c r="K22" i="15" s="1"/>
  <c r="K23" i="15" s="1"/>
  <c r="K24" i="15" s="1"/>
  <c r="K25" i="15" s="1"/>
  <c r="J17" i="15"/>
  <c r="J18" i="15" s="1"/>
  <c r="J19" i="15" s="1"/>
  <c r="J20" i="15" s="1"/>
  <c r="J21" i="15" s="1"/>
  <c r="J22" i="15" s="1"/>
  <c r="J23" i="15" s="1"/>
  <c r="J24" i="15" s="1"/>
  <c r="J25" i="15" s="1"/>
  <c r="I17" i="15"/>
  <c r="I18" i="15" s="1"/>
  <c r="I19" i="15" s="1"/>
  <c r="I20" i="15" s="1"/>
  <c r="I21" i="15" s="1"/>
  <c r="I22" i="15" s="1"/>
  <c r="I23" i="15" s="1"/>
  <c r="I24" i="15" s="1"/>
  <c r="I25" i="15" s="1"/>
  <c r="H17" i="15"/>
  <c r="H18" i="15" s="1"/>
  <c r="H19" i="15" s="1"/>
  <c r="H20" i="15" s="1"/>
  <c r="H21" i="15" s="1"/>
  <c r="H22" i="15" s="1"/>
  <c r="H23" i="15" s="1"/>
  <c r="H24" i="15" s="1"/>
  <c r="H25" i="15" s="1"/>
  <c r="G17" i="15"/>
  <c r="G18" i="15" s="1"/>
  <c r="G19" i="15" s="1"/>
  <c r="G20" i="15" s="1"/>
  <c r="G21" i="15" s="1"/>
  <c r="G22" i="15" s="1"/>
  <c r="G23" i="15" s="1"/>
  <c r="G24" i="15" s="1"/>
  <c r="G25" i="15" s="1"/>
  <c r="I8" i="15"/>
  <c r="I11" i="15" s="1"/>
  <c r="I14" i="15" s="1"/>
  <c r="I7" i="15"/>
  <c r="I10" i="15" s="1"/>
  <c r="I13" i="15" s="1"/>
  <c r="M6" i="15"/>
  <c r="M7" i="15" s="1"/>
  <c r="M8" i="15" s="1"/>
  <c r="M9" i="15" s="1"/>
  <c r="M10" i="15" s="1"/>
  <c r="M11" i="15" s="1"/>
  <c r="M12" i="15" s="1"/>
  <c r="M13" i="15" s="1"/>
  <c r="M14" i="15" s="1"/>
  <c r="L6" i="15"/>
  <c r="L7" i="15" s="1"/>
  <c r="L8" i="15" s="1"/>
  <c r="L9" i="15" s="1"/>
  <c r="L10" i="15" s="1"/>
  <c r="L11" i="15" s="1"/>
  <c r="L12" i="15" s="1"/>
  <c r="L13" i="15" s="1"/>
  <c r="L14" i="15" s="1"/>
  <c r="K6" i="15"/>
  <c r="K7" i="15" s="1"/>
  <c r="K8" i="15" s="1"/>
  <c r="K9" i="15" s="1"/>
  <c r="K10" i="15" s="1"/>
  <c r="K11" i="15" s="1"/>
  <c r="K12" i="15" s="1"/>
  <c r="K13" i="15" s="1"/>
  <c r="K14" i="15" s="1"/>
  <c r="J6" i="15"/>
  <c r="J7" i="15" s="1"/>
  <c r="J8" i="15" s="1"/>
  <c r="J9" i="15" s="1"/>
  <c r="J10" i="15" s="1"/>
  <c r="J11" i="15" s="1"/>
  <c r="J12" i="15" s="1"/>
  <c r="J13" i="15" s="1"/>
  <c r="J14" i="15" s="1"/>
  <c r="I6" i="15"/>
  <c r="I9" i="15" s="1"/>
  <c r="I12" i="15" s="1"/>
  <c r="H6" i="15"/>
  <c r="H7" i="15" s="1"/>
  <c r="H8" i="15" s="1"/>
  <c r="H9" i="15" s="1"/>
  <c r="H10" i="15" s="1"/>
  <c r="H11" i="15" s="1"/>
  <c r="H12" i="15" s="1"/>
  <c r="H13" i="15" s="1"/>
  <c r="H14" i="15" s="1"/>
  <c r="G6" i="15"/>
  <c r="G7" i="15" s="1"/>
  <c r="G8" i="15" s="1"/>
  <c r="G9" i="15" s="1"/>
  <c r="G10" i="15" s="1"/>
  <c r="G11" i="15" s="1"/>
  <c r="G12" i="15" s="1"/>
  <c r="G13" i="15" s="1"/>
  <c r="G14" i="15" s="1"/>
  <c r="AE305" i="10"/>
  <c r="AE306" i="10" s="1"/>
  <c r="AE307" i="10" s="1"/>
  <c r="AE308" i="10" s="1"/>
  <c r="CC53" i="12"/>
  <c r="CC59" i="12"/>
  <c r="CC71" i="12"/>
  <c r="BO53" i="12"/>
  <c r="CC67" i="12"/>
  <c r="BS50" i="12"/>
  <c r="CC76" i="12"/>
  <c r="CC75" i="12"/>
  <c r="CC74" i="12"/>
  <c r="CC73" i="12"/>
  <c r="CC72" i="12"/>
  <c r="CC51" i="12"/>
  <c r="CC50" i="12"/>
  <c r="CC49" i="12"/>
  <c r="BM53" i="12"/>
  <c r="BM51" i="12"/>
  <c r="BO48" i="12"/>
  <c r="BM48" i="12"/>
  <c r="CC58" i="12"/>
  <c r="CC57" i="12"/>
  <c r="BO50" i="12"/>
  <c r="BM50" i="12"/>
  <c r="CC46" i="12"/>
  <c r="CC45" i="12"/>
  <c r="CC44" i="12"/>
  <c r="BO46" i="12"/>
  <c r="BQ50" i="12"/>
  <c r="BO59" i="12"/>
  <c r="BM55" i="12"/>
  <c r="BM54" i="12"/>
  <c r="BO58" i="12"/>
  <c r="BO57" i="12"/>
  <c r="BM46" i="12"/>
  <c r="AZ38" i="12"/>
  <c r="BA38" i="12"/>
  <c r="BB38" i="12"/>
  <c r="BC38" i="12"/>
  <c r="BD38" i="12"/>
  <c r="BA39" i="12"/>
  <c r="BC39" i="12"/>
  <c r="BD39" i="12"/>
  <c r="BE39" i="12"/>
  <c r="BO44" i="12"/>
  <c r="BO41" i="12"/>
  <c r="BM42" i="12"/>
  <c r="BM41" i="12"/>
  <c r="BG53" i="12"/>
  <c r="BD54" i="12"/>
  <c r="BD53" i="12"/>
  <c r="BE43" i="12"/>
  <c r="AZ275" i="10"/>
  <c r="AZ276" i="10" s="1"/>
  <c r="AZ277" i="10" s="1"/>
  <c r="AZ278" i="10" s="1"/>
  <c r="AZ279" i="10" s="1"/>
  <c r="AZ261" i="10"/>
  <c r="AZ262" i="10" s="1"/>
  <c r="AZ263" i="10" s="1"/>
  <c r="AZ264" i="10" s="1"/>
  <c r="AZ265" i="10" s="1"/>
  <c r="AE299" i="14"/>
  <c r="AE300" i="14" s="1"/>
  <c r="AE301" i="14" s="1"/>
  <c r="AE302" i="14" s="1"/>
  <c r="AC299" i="14"/>
  <c r="AC300" i="14" s="1"/>
  <c r="AC301" i="14" s="1"/>
  <c r="AC302" i="14" s="1"/>
  <c r="AE294" i="14"/>
  <c r="AE295" i="14" s="1"/>
  <c r="AE296" i="14" s="1"/>
  <c r="AE284" i="14"/>
  <c r="AE285" i="14" s="1"/>
  <c r="AE276" i="14"/>
  <c r="AE277" i="14" s="1"/>
  <c r="AE278" i="14" s="1"/>
  <c r="AE279" i="14" s="1"/>
  <c r="AC276" i="14"/>
  <c r="AC277" i="14" s="1"/>
  <c r="AC278" i="14" s="1"/>
  <c r="AC279" i="14" s="1"/>
  <c r="AM271" i="14"/>
  <c r="AM272" i="14" s="1"/>
  <c r="AM273" i="14" s="1"/>
  <c r="AM261" i="14"/>
  <c r="AM262" i="14" s="1"/>
  <c r="AM263" i="14" s="1"/>
  <c r="AM264" i="14" s="1"/>
  <c r="AM265" i="14" s="1"/>
  <c r="AM266" i="14" s="1"/>
  <c r="AM267" i="14" s="1"/>
  <c r="AM268" i="14" s="1"/>
  <c r="AC261" i="14"/>
  <c r="AC262" i="14" s="1"/>
  <c r="AC263" i="14" s="1"/>
  <c r="AC264" i="14" s="1"/>
  <c r="AC265" i="14" s="1"/>
  <c r="AZ253" i="14"/>
  <c r="AZ254" i="14" s="1"/>
  <c r="AZ255" i="14" s="1"/>
  <c r="AF253" i="14"/>
  <c r="AF254" i="14" s="1"/>
  <c r="AF255" i="14" s="1"/>
  <c r="AD253" i="14"/>
  <c r="AD254" i="14" s="1"/>
  <c r="AD255" i="14" s="1"/>
  <c r="AZ249" i="14"/>
  <c r="AZ250" i="14" s="1"/>
  <c r="AF249" i="14"/>
  <c r="AF250" i="14" s="1"/>
  <c r="AD249" i="14"/>
  <c r="AD250" i="14" s="1"/>
  <c r="AZ240" i="14"/>
  <c r="AZ241" i="14" s="1"/>
  <c r="AZ242" i="14" s="1"/>
  <c r="AF240" i="14"/>
  <c r="AF241" i="14" s="1"/>
  <c r="AF242" i="14" s="1"/>
  <c r="AD240" i="14"/>
  <c r="AD241" i="14" s="1"/>
  <c r="AD242" i="14" s="1"/>
  <c r="AN233" i="14"/>
  <c r="AN234" i="14" s="1"/>
  <c r="AN235" i="14" s="1"/>
  <c r="AN236" i="14" s="1"/>
  <c r="AN237" i="14" s="1"/>
  <c r="AF232" i="14"/>
  <c r="AF233" i="14" s="1"/>
  <c r="AF234" i="14" s="1"/>
  <c r="AF235" i="14" s="1"/>
  <c r="AF236" i="14" s="1"/>
  <c r="AF237" i="14" s="1"/>
  <c r="AD232" i="14"/>
  <c r="AD233" i="14" s="1"/>
  <c r="AD234" i="14" s="1"/>
  <c r="AD235" i="14" s="1"/>
  <c r="AD236" i="14" s="1"/>
  <c r="AD237" i="14" s="1"/>
  <c r="AN227" i="14"/>
  <c r="AN228" i="14" s="1"/>
  <c r="AN229" i="14" s="1"/>
  <c r="AN230" i="14" s="1"/>
  <c r="AN231" i="14" s="1"/>
  <c r="AF227" i="14"/>
  <c r="AF228" i="14" s="1"/>
  <c r="AF229" i="14" s="1"/>
  <c r="AF230" i="14" s="1"/>
  <c r="AF231" i="14" s="1"/>
  <c r="AD227" i="14"/>
  <c r="AD228" i="14" s="1"/>
  <c r="AD229" i="14" s="1"/>
  <c r="AD230" i="14" s="1"/>
  <c r="AD231" i="14" s="1"/>
  <c r="AZ223" i="14"/>
  <c r="AZ224" i="14" s="1"/>
  <c r="AZ225" i="14" s="1"/>
  <c r="AF223" i="14"/>
  <c r="AF224" i="14" s="1"/>
  <c r="AD223" i="14"/>
  <c r="AD224" i="14" s="1"/>
  <c r="AN216" i="14"/>
  <c r="AN217" i="14" s="1"/>
  <c r="AN218" i="14" s="1"/>
  <c r="AN219" i="14" s="1"/>
  <c r="AN220" i="14" s="1"/>
  <c r="AZ212" i="14"/>
  <c r="AZ213" i="14" s="1"/>
  <c r="AZ214" i="14" s="1"/>
  <c r="AZ215" i="14" s="1"/>
  <c r="AZ216" i="14" s="1"/>
  <c r="AZ217" i="14" s="1"/>
  <c r="AZ218" i="14" s="1"/>
  <c r="AZ219" i="14" s="1"/>
  <c r="AZ220" i="14" s="1"/>
  <c r="AF212" i="14"/>
  <c r="AF213" i="14" s="1"/>
  <c r="AF214" i="14" s="1"/>
  <c r="AF215" i="14" s="1"/>
  <c r="AF216" i="14" s="1"/>
  <c r="AF217" i="14" s="1"/>
  <c r="AF218" i="14" s="1"/>
  <c r="AF219" i="14" s="1"/>
  <c r="AF220" i="14" s="1"/>
  <c r="AD212" i="14"/>
  <c r="AD213" i="14" s="1"/>
  <c r="AD214" i="14" s="1"/>
  <c r="AD215" i="14" s="1"/>
  <c r="AD216" i="14" s="1"/>
  <c r="AD217" i="14" s="1"/>
  <c r="AD218" i="14" s="1"/>
  <c r="AD219" i="14" s="1"/>
  <c r="AD220" i="14" s="1"/>
  <c r="AJ206" i="14"/>
  <c r="AH206" i="14"/>
  <c r="BB205" i="14"/>
  <c r="BB206" i="14" s="1"/>
  <c r="AZ205" i="14"/>
  <c r="AZ206" i="14" s="1"/>
  <c r="AY205" i="14"/>
  <c r="AY206" i="14" s="1"/>
  <c r="AA205" i="14"/>
  <c r="AA206" i="14" s="1"/>
  <c r="BB203" i="14"/>
  <c r="AP203" i="14"/>
  <c r="AI203" i="14"/>
  <c r="AG203" i="14"/>
  <c r="AA203" i="14"/>
  <c r="BB202" i="14"/>
  <c r="AP202" i="14"/>
  <c r="AI202" i="14"/>
  <c r="AG202" i="14"/>
  <c r="AA202" i="14"/>
  <c r="BB201" i="14"/>
  <c r="AP201" i="14"/>
  <c r="AI201" i="14"/>
  <c r="AG201" i="14"/>
  <c r="AA201" i="14"/>
  <c r="BB200" i="14"/>
  <c r="AP200" i="14"/>
  <c r="AI200" i="14"/>
  <c r="AG200" i="14"/>
  <c r="AA200" i="14"/>
  <c r="AZ198" i="14"/>
  <c r="AZ203" i="14" s="1"/>
  <c r="AZ197" i="14"/>
  <c r="AZ202" i="14" s="1"/>
  <c r="AZ196" i="14"/>
  <c r="AZ201" i="14" s="1"/>
  <c r="AZ195" i="14"/>
  <c r="AZ200" i="14" s="1"/>
  <c r="AW195" i="14"/>
  <c r="AW200" i="14" s="1"/>
  <c r="AZ194" i="14"/>
  <c r="AW194" i="14"/>
  <c r="AW197" i="14" s="1"/>
  <c r="AW202" i="14" s="1"/>
  <c r="AB194" i="14"/>
  <c r="AZ193" i="14"/>
  <c r="AW192" i="14"/>
  <c r="AB192" i="14"/>
  <c r="AB193" i="14" s="1"/>
  <c r="AI189" i="14"/>
  <c r="AG189" i="14"/>
  <c r="BB187" i="14"/>
  <c r="BB188" i="14" s="1"/>
  <c r="BB189" i="14" s="1"/>
  <c r="AZ187" i="14"/>
  <c r="AZ188" i="14" s="1"/>
  <c r="AZ189" i="14" s="1"/>
  <c r="AW187" i="14"/>
  <c r="AW188" i="14" s="1"/>
  <c r="AW189" i="14" s="1"/>
  <c r="AA187" i="14"/>
  <c r="AA188" i="14" s="1"/>
  <c r="AA189" i="14" s="1"/>
  <c r="AI183" i="14"/>
  <c r="AG183" i="14"/>
  <c r="BB179" i="14"/>
  <c r="BB180" i="14" s="1"/>
  <c r="BB181" i="14" s="1"/>
  <c r="BB182" i="14" s="1"/>
  <c r="BB183" i="14" s="1"/>
  <c r="BB184" i="14" s="1"/>
  <c r="AZ179" i="14"/>
  <c r="AZ180" i="14" s="1"/>
  <c r="AZ181" i="14" s="1"/>
  <c r="AZ182" i="14" s="1"/>
  <c r="AZ183" i="14" s="1"/>
  <c r="AW179" i="14"/>
  <c r="AW180" i="14" s="1"/>
  <c r="AW181" i="14" s="1"/>
  <c r="AW182" i="14" s="1"/>
  <c r="AW183" i="14" s="1"/>
  <c r="AW184" i="14" s="1"/>
  <c r="AA179" i="14"/>
  <c r="AA180" i="14" s="1"/>
  <c r="AA181" i="14" s="1"/>
  <c r="AA182" i="14" s="1"/>
  <c r="AA183" i="14" s="1"/>
  <c r="AA184" i="14" s="1"/>
  <c r="BB174" i="14"/>
  <c r="BB175" i="14" s="1"/>
  <c r="BB176" i="14" s="1"/>
  <c r="AZ174" i="14"/>
  <c r="AZ175" i="14" s="1"/>
  <c r="AZ176" i="14" s="1"/>
  <c r="AW174" i="14"/>
  <c r="AW175" i="14" s="1"/>
  <c r="AW176" i="14" s="1"/>
  <c r="AV174" i="14"/>
  <c r="AV175" i="14" s="1"/>
  <c r="AV176" i="14" s="1"/>
  <c r="AP174" i="14"/>
  <c r="AP175" i="14" s="1"/>
  <c r="AP176" i="14" s="1"/>
  <c r="AI174" i="14"/>
  <c r="AI175" i="14" s="1"/>
  <c r="AI176" i="14" s="1"/>
  <c r="AG174" i="14"/>
  <c r="AG175" i="14" s="1"/>
  <c r="AG176" i="14" s="1"/>
  <c r="AA174" i="14"/>
  <c r="AA175" i="14" s="1"/>
  <c r="AA176" i="14" s="1"/>
  <c r="BB169" i="14"/>
  <c r="BB170" i="14" s="1"/>
  <c r="BB171" i="14" s="1"/>
  <c r="AZ169" i="14"/>
  <c r="AZ170" i="14" s="1"/>
  <c r="AZ171" i="14" s="1"/>
  <c r="AW169" i="14"/>
  <c r="AW170" i="14" s="1"/>
  <c r="AW171" i="14" s="1"/>
  <c r="AV169" i="14"/>
  <c r="AV170" i="14" s="1"/>
  <c r="AV171" i="14" s="1"/>
  <c r="AP169" i="14"/>
  <c r="AP170" i="14" s="1"/>
  <c r="AP171" i="14" s="1"/>
  <c r="AA169" i="14"/>
  <c r="AA170" i="14" s="1"/>
  <c r="AA171" i="14" s="1"/>
  <c r="BB161" i="14"/>
  <c r="BB162" i="14" s="1"/>
  <c r="BB163" i="14" s="1"/>
  <c r="BB164" i="14" s="1"/>
  <c r="BB165" i="14" s="1"/>
  <c r="BB166" i="14" s="1"/>
  <c r="AZ161" i="14"/>
  <c r="AZ162" i="14" s="1"/>
  <c r="AZ163" i="14" s="1"/>
  <c r="AZ164" i="14" s="1"/>
  <c r="AZ165" i="14" s="1"/>
  <c r="AZ166" i="14" s="1"/>
  <c r="AW161" i="14"/>
  <c r="AW162" i="14" s="1"/>
  <c r="AW163" i="14" s="1"/>
  <c r="AW164" i="14" s="1"/>
  <c r="AW165" i="14" s="1"/>
  <c r="AW166" i="14" s="1"/>
  <c r="AV161" i="14"/>
  <c r="AV162" i="14" s="1"/>
  <c r="AV163" i="14" s="1"/>
  <c r="AV164" i="14" s="1"/>
  <c r="AV165" i="14" s="1"/>
  <c r="AV166" i="14" s="1"/>
  <c r="AP161" i="14"/>
  <c r="AP162" i="14" s="1"/>
  <c r="AP163" i="14" s="1"/>
  <c r="AP164" i="14" s="1"/>
  <c r="AP165" i="14" s="1"/>
  <c r="AP166" i="14" s="1"/>
  <c r="AA161" i="14"/>
  <c r="AA162" i="14" s="1"/>
  <c r="AA163" i="14" s="1"/>
  <c r="AA164" i="14" s="1"/>
  <c r="AA165" i="14" s="1"/>
  <c r="AA166" i="14" s="1"/>
  <c r="BB150" i="14"/>
  <c r="BB151" i="14" s="1"/>
  <c r="BB152" i="14" s="1"/>
  <c r="BB153" i="14" s="1"/>
  <c r="BB154" i="14" s="1"/>
  <c r="BB155" i="14" s="1"/>
  <c r="AZ150" i="14"/>
  <c r="AZ151" i="14" s="1"/>
  <c r="AZ152" i="14" s="1"/>
  <c r="AZ153" i="14" s="1"/>
  <c r="AZ154" i="14" s="1"/>
  <c r="AZ155" i="14" s="1"/>
  <c r="AY150" i="14"/>
  <c r="AY151" i="14" s="1"/>
  <c r="AY152" i="14" s="1"/>
  <c r="AY153" i="14" s="1"/>
  <c r="AY154" i="14" s="1"/>
  <c r="AY155" i="14" s="1"/>
  <c r="AV150" i="14"/>
  <c r="AV151" i="14" s="1"/>
  <c r="AV152" i="14" s="1"/>
  <c r="AV153" i="14" s="1"/>
  <c r="AV154" i="14" s="1"/>
  <c r="AV155" i="14" s="1"/>
  <c r="AU150" i="14"/>
  <c r="AU151" i="14" s="1"/>
  <c r="AU152" i="14" s="1"/>
  <c r="AU153" i="14" s="1"/>
  <c r="AU154" i="14" s="1"/>
  <c r="AU155" i="14" s="1"/>
  <c r="AA150" i="14"/>
  <c r="AA151" i="14" s="1"/>
  <c r="AA152" i="14" s="1"/>
  <c r="AA153" i="14" s="1"/>
  <c r="AA154" i="14" s="1"/>
  <c r="AA155" i="14" s="1"/>
  <c r="BB145" i="14"/>
  <c r="BB146" i="14" s="1"/>
  <c r="BB147" i="14" s="1"/>
  <c r="AZ145" i="14"/>
  <c r="AZ146" i="14" s="1"/>
  <c r="AZ147" i="14" s="1"/>
  <c r="AV145" i="14"/>
  <c r="AV146" i="14" s="1"/>
  <c r="AV147" i="14" s="1"/>
  <c r="AU145" i="14"/>
  <c r="AU146" i="14" s="1"/>
  <c r="AU147" i="14" s="1"/>
  <c r="AJ145" i="14"/>
  <c r="AJ146" i="14" s="1"/>
  <c r="AJ147" i="14" s="1"/>
  <c r="AH145" i="14"/>
  <c r="AH146" i="14" s="1"/>
  <c r="AH147" i="14" s="1"/>
  <c r="AF145" i="14"/>
  <c r="AF146" i="14" s="1"/>
  <c r="AF147" i="14" s="1"/>
  <c r="AD145" i="14"/>
  <c r="AD146" i="14" s="1"/>
  <c r="AD147" i="14" s="1"/>
  <c r="AA145" i="14"/>
  <c r="AA146" i="14" s="1"/>
  <c r="AA147" i="14" s="1"/>
  <c r="AJ142" i="14"/>
  <c r="AH142" i="14"/>
  <c r="AF142" i="14"/>
  <c r="AD142" i="14"/>
  <c r="AJ141" i="14"/>
  <c r="AH141" i="14"/>
  <c r="AF141" i="14"/>
  <c r="AD141" i="14"/>
  <c r="AJ140" i="14"/>
  <c r="AH140" i="14"/>
  <c r="AF140" i="14"/>
  <c r="AD140" i="14"/>
  <c r="AR139" i="14"/>
  <c r="AR140" i="14" s="1"/>
  <c r="AR141" i="14" s="1"/>
  <c r="AR142" i="14" s="1"/>
  <c r="AJ139" i="14"/>
  <c r="AH139" i="14"/>
  <c r="AF139" i="14"/>
  <c r="AD139" i="14"/>
  <c r="AJ138" i="14"/>
  <c r="AH138" i="14"/>
  <c r="AF138" i="14"/>
  <c r="AD138" i="14"/>
  <c r="BB137" i="14"/>
  <c r="BB138" i="14" s="1"/>
  <c r="BB139" i="14" s="1"/>
  <c r="BB140" i="14" s="1"/>
  <c r="BB141" i="14" s="1"/>
  <c r="BB142" i="14" s="1"/>
  <c r="AZ137" i="14"/>
  <c r="AZ138" i="14" s="1"/>
  <c r="AZ139" i="14" s="1"/>
  <c r="AZ140" i="14" s="1"/>
  <c r="AZ141" i="14" s="1"/>
  <c r="AZ142" i="14" s="1"/>
  <c r="AV137" i="14"/>
  <c r="AV138" i="14" s="1"/>
  <c r="AV139" i="14" s="1"/>
  <c r="AV140" i="14" s="1"/>
  <c r="AV141" i="14" s="1"/>
  <c r="AV142" i="14" s="1"/>
  <c r="AU137" i="14"/>
  <c r="AU138" i="14" s="1"/>
  <c r="AU139" i="14" s="1"/>
  <c r="AU140" i="14" s="1"/>
  <c r="AU141" i="14" s="1"/>
  <c r="AU142" i="14" s="1"/>
  <c r="AJ137" i="14"/>
  <c r="AH137" i="14"/>
  <c r="AF137" i="14"/>
  <c r="AD137" i="14"/>
  <c r="AA137" i="14"/>
  <c r="AA138" i="14" s="1"/>
  <c r="AA139" i="14" s="1"/>
  <c r="AA140" i="14" s="1"/>
  <c r="AA141" i="14" s="1"/>
  <c r="AA142" i="14" s="1"/>
  <c r="AY131" i="14"/>
  <c r="AY132" i="14" s="1"/>
  <c r="AY133" i="14" s="1"/>
  <c r="AY134" i="14" s="1"/>
  <c r="AV131" i="14"/>
  <c r="AV132" i="14" s="1"/>
  <c r="AV133" i="14" s="1"/>
  <c r="AV134" i="14" s="1"/>
  <c r="AJ131" i="14"/>
  <c r="AJ132" i="14" s="1"/>
  <c r="AJ133" i="14" s="1"/>
  <c r="AJ134" i="14" s="1"/>
  <c r="AH131" i="14"/>
  <c r="AH132" i="14" s="1"/>
  <c r="AH133" i="14" s="1"/>
  <c r="AH134" i="14" s="1"/>
  <c r="AF131" i="14"/>
  <c r="AF132" i="14" s="1"/>
  <c r="AF133" i="14" s="1"/>
  <c r="AF134" i="14" s="1"/>
  <c r="AD131" i="14"/>
  <c r="AD132" i="14" s="1"/>
  <c r="AD133" i="14" s="1"/>
  <c r="AD134" i="14" s="1"/>
  <c r="BB130" i="14"/>
  <c r="BB131" i="14" s="1"/>
  <c r="BB132" i="14" s="1"/>
  <c r="BB133" i="14" s="1"/>
  <c r="BB134" i="14" s="1"/>
  <c r="AZ130" i="14"/>
  <c r="AZ131" i="14" s="1"/>
  <c r="AZ132" i="14" s="1"/>
  <c r="AZ133" i="14" s="1"/>
  <c r="AZ134" i="14" s="1"/>
  <c r="AA130" i="14"/>
  <c r="AA131" i="14" s="1"/>
  <c r="AA132" i="14" s="1"/>
  <c r="AA133" i="14" s="1"/>
  <c r="AA134" i="14" s="1"/>
  <c r="BB127" i="14"/>
  <c r="AV124" i="14"/>
  <c r="AQ124" i="14"/>
  <c r="AJ124" i="14"/>
  <c r="AI124" i="14"/>
  <c r="AH124" i="14"/>
  <c r="AG124" i="14"/>
  <c r="BB123" i="14"/>
  <c r="BB124" i="14" s="1"/>
  <c r="AZ123" i="14"/>
  <c r="AZ124" i="14" s="1"/>
  <c r="AV123" i="14"/>
  <c r="AQ123" i="14"/>
  <c r="AJ123" i="14"/>
  <c r="AI123" i="14"/>
  <c r="AH123" i="14"/>
  <c r="AG123" i="14"/>
  <c r="AZ117" i="14"/>
  <c r="AZ118" i="14" s="1"/>
  <c r="AZ119" i="14" s="1"/>
  <c r="AZ120" i="14" s="1"/>
  <c r="AA117" i="14"/>
  <c r="AA118" i="14" s="1"/>
  <c r="AA119" i="14" s="1"/>
  <c r="AA120" i="14" s="1"/>
  <c r="AZ116" i="14"/>
  <c r="AL116" i="14"/>
  <c r="AA116" i="14"/>
  <c r="AZ115" i="14"/>
  <c r="AV115" i="14"/>
  <c r="AV116" i="14" s="1"/>
  <c r="AV117" i="14" s="1"/>
  <c r="AV118" i="14" s="1"/>
  <c r="AV119" i="14" s="1"/>
  <c r="AV120" i="14" s="1"/>
  <c r="AH115" i="14"/>
  <c r="AH116" i="14" s="1"/>
  <c r="AH117" i="14" s="1"/>
  <c r="AH118" i="14" s="1"/>
  <c r="AH119" i="14" s="1"/>
  <c r="AH120" i="14" s="1"/>
  <c r="AF115" i="14"/>
  <c r="AD115" i="14"/>
  <c r="AA115" i="14"/>
  <c r="BB114" i="14"/>
  <c r="BB115" i="14" s="1"/>
  <c r="BB116" i="14" s="1"/>
  <c r="BB117" i="14" s="1"/>
  <c r="BB118" i="14" s="1"/>
  <c r="BB119" i="14" s="1"/>
  <c r="BB120" i="14" s="1"/>
  <c r="AZ114" i="14"/>
  <c r="AJ114" i="14"/>
  <c r="AJ116" i="14" s="1"/>
  <c r="AJ117" i="14" s="1"/>
  <c r="AJ118" i="14" s="1"/>
  <c r="AJ119" i="14" s="1"/>
  <c r="AJ120" i="14" s="1"/>
  <c r="AF114" i="14"/>
  <c r="AF116" i="14" s="1"/>
  <c r="AF117" i="14" s="1"/>
  <c r="AF118" i="14" s="1"/>
  <c r="AF119" i="14" s="1"/>
  <c r="AF120" i="14" s="1"/>
  <c r="AD114" i="14"/>
  <c r="AD116" i="14" s="1"/>
  <c r="AD117" i="14" s="1"/>
  <c r="AD118" i="14" s="1"/>
  <c r="AD119" i="14" s="1"/>
  <c r="AD120" i="14" s="1"/>
  <c r="AA114" i="14"/>
  <c r="AA111" i="14"/>
  <c r="AJ110" i="14"/>
  <c r="AJ111" i="14" s="1"/>
  <c r="AA110" i="14"/>
  <c r="AY109" i="14"/>
  <c r="AY110" i="14" s="1"/>
  <c r="AY111" i="14" s="1"/>
  <c r="AA109" i="14"/>
  <c r="BB108" i="14"/>
  <c r="BB109" i="14" s="1"/>
  <c r="BB110" i="14" s="1"/>
  <c r="BB111" i="14" s="1"/>
  <c r="AZ108" i="14"/>
  <c r="AZ109" i="14" s="1"/>
  <c r="AZ110" i="14" s="1"/>
  <c r="AZ111" i="14" s="1"/>
  <c r="AV108" i="14"/>
  <c r="AV109" i="14" s="1"/>
  <c r="AV110" i="14" s="1"/>
  <c r="AV111" i="14" s="1"/>
  <c r="AI108" i="14"/>
  <c r="AI109" i="14" s="1"/>
  <c r="AI110" i="14" s="1"/>
  <c r="AI111" i="14" s="1"/>
  <c r="AH108" i="14"/>
  <c r="AH109" i="14" s="1"/>
  <c r="AH110" i="14" s="1"/>
  <c r="AH111" i="14" s="1"/>
  <c r="AG108" i="14"/>
  <c r="AG109" i="14" s="1"/>
  <c r="AG110" i="14" s="1"/>
  <c r="AG111" i="14" s="1"/>
  <c r="AA108" i="14"/>
  <c r="AA105" i="14"/>
  <c r="AJ104" i="14"/>
  <c r="AJ105" i="14" s="1"/>
  <c r="AA104" i="14"/>
  <c r="AA103" i="14"/>
  <c r="AH102" i="14"/>
  <c r="AH103" i="14" s="1"/>
  <c r="AH104" i="14" s="1"/>
  <c r="AH105" i="14" s="1"/>
  <c r="AA102" i="14"/>
  <c r="BB101" i="14"/>
  <c r="BB102" i="14" s="1"/>
  <c r="BB103" i="14" s="1"/>
  <c r="BB104" i="14" s="1"/>
  <c r="BB105" i="14" s="1"/>
  <c r="AZ101" i="14"/>
  <c r="AZ102" i="14" s="1"/>
  <c r="AZ103" i="14" s="1"/>
  <c r="AZ104" i="14" s="1"/>
  <c r="AZ105" i="14" s="1"/>
  <c r="AV101" i="14"/>
  <c r="AV102" i="14" s="1"/>
  <c r="AV103" i="14" s="1"/>
  <c r="AV104" i="14" s="1"/>
  <c r="AV105" i="14" s="1"/>
  <c r="AI101" i="14"/>
  <c r="AI102" i="14" s="1"/>
  <c r="AI103" i="14" s="1"/>
  <c r="AI104" i="14" s="1"/>
  <c r="AI105" i="14" s="1"/>
  <c r="AG101" i="14"/>
  <c r="AG102" i="14" s="1"/>
  <c r="AG103" i="14" s="1"/>
  <c r="AG104" i="14" s="1"/>
  <c r="AG105" i="14" s="1"/>
  <c r="AA101" i="14"/>
  <c r="BB97" i="14"/>
  <c r="BB98" i="14" s="1"/>
  <c r="AZ97" i="14"/>
  <c r="AZ98" i="14" s="1"/>
  <c r="AV97" i="14"/>
  <c r="AV98" i="14" s="1"/>
  <c r="AU97" i="14"/>
  <c r="AU98" i="14" s="1"/>
  <c r="AI97" i="14"/>
  <c r="AI98" i="14" s="1"/>
  <c r="AG97" i="14"/>
  <c r="AG98" i="14" s="1"/>
  <c r="AF97" i="14"/>
  <c r="AF98" i="14" s="1"/>
  <c r="AD97" i="14"/>
  <c r="AD98" i="14" s="1"/>
  <c r="AA97" i="14"/>
  <c r="AA98" i="14" s="1"/>
  <c r="BB93" i="14"/>
  <c r="BB94" i="14" s="1"/>
  <c r="AZ93" i="14"/>
  <c r="AZ94" i="14" s="1"/>
  <c r="AV93" i="14"/>
  <c r="AV94" i="14" s="1"/>
  <c r="AU93" i="14"/>
  <c r="AU94" i="14" s="1"/>
  <c r="AO93" i="14"/>
  <c r="AO94" i="14" s="1"/>
  <c r="AL93" i="14"/>
  <c r="AL94" i="14" s="1"/>
  <c r="AI93" i="14"/>
  <c r="AI94" i="14" s="1"/>
  <c r="AG93" i="14"/>
  <c r="AG94" i="14" s="1"/>
  <c r="AF93" i="14"/>
  <c r="AF94" i="14" s="1"/>
  <c r="AD93" i="14"/>
  <c r="AD94" i="14" s="1"/>
  <c r="AA93" i="14"/>
  <c r="AA94" i="14" s="1"/>
  <c r="AF90" i="14"/>
  <c r="AF91" i="14" s="1"/>
  <c r="AD90" i="14"/>
  <c r="AD91" i="14" s="1"/>
  <c r="BB89" i="14"/>
  <c r="BB90" i="14" s="1"/>
  <c r="BB91" i="14" s="1"/>
  <c r="AZ89" i="14"/>
  <c r="AZ90" i="14" s="1"/>
  <c r="AZ91" i="14" s="1"/>
  <c r="AV89" i="14"/>
  <c r="AV90" i="14" s="1"/>
  <c r="AV91" i="14" s="1"/>
  <c r="AU89" i="14"/>
  <c r="AU90" i="14" s="1"/>
  <c r="AU91" i="14" s="1"/>
  <c r="AO89" i="14"/>
  <c r="AO90" i="14" s="1"/>
  <c r="AO91" i="14" s="1"/>
  <c r="AL89" i="14"/>
  <c r="AL90" i="14" s="1"/>
  <c r="AL91" i="14" s="1"/>
  <c r="AI89" i="14"/>
  <c r="AI90" i="14" s="1"/>
  <c r="AI91" i="14" s="1"/>
  <c r="AG89" i="14"/>
  <c r="AG90" i="14" s="1"/>
  <c r="AG91" i="14" s="1"/>
  <c r="AF89" i="14"/>
  <c r="AD89" i="14"/>
  <c r="AA89" i="14"/>
  <c r="AA90" i="14" s="1"/>
  <c r="AA91" i="14" s="1"/>
  <c r="BB87" i="14"/>
  <c r="AZ87" i="14"/>
  <c r="AV87" i="14"/>
  <c r="AU87" i="14"/>
  <c r="AO87" i="14"/>
  <c r="AI87" i="14"/>
  <c r="AG87" i="14"/>
  <c r="AF87" i="14"/>
  <c r="AD87" i="14"/>
  <c r="AA87" i="14"/>
  <c r="BB85" i="14"/>
  <c r="AZ85" i="14"/>
  <c r="AV85" i="14"/>
  <c r="AU85" i="14"/>
  <c r="AI85" i="14"/>
  <c r="AG85" i="14"/>
  <c r="AF85" i="14"/>
  <c r="AD85" i="14"/>
  <c r="AA85" i="14"/>
  <c r="BB78" i="14"/>
  <c r="BB79" i="14" s="1"/>
  <c r="AZ78" i="14"/>
  <c r="AZ79" i="14" s="1"/>
  <c r="AA78" i="14"/>
  <c r="AA79" i="14" s="1"/>
  <c r="BB75" i="14"/>
  <c r="AZ75" i="14"/>
  <c r="AV75" i="14"/>
  <c r="AJ75" i="14"/>
  <c r="AI75" i="14"/>
  <c r="AH75" i="14"/>
  <c r="AG75" i="14"/>
  <c r="BB71" i="14"/>
  <c r="BB72" i="14" s="1"/>
  <c r="BB73" i="14" s="1"/>
  <c r="AZ71" i="14"/>
  <c r="AZ72" i="14" s="1"/>
  <c r="AZ73" i="14" s="1"/>
  <c r="AV71" i="14"/>
  <c r="AV72" i="14" s="1"/>
  <c r="AV73" i="14" s="1"/>
  <c r="AI71" i="14"/>
  <c r="AI72" i="14" s="1"/>
  <c r="AI73" i="14" s="1"/>
  <c r="AG71" i="14"/>
  <c r="AG72" i="14" s="1"/>
  <c r="AG73" i="14" s="1"/>
  <c r="AA71" i="14"/>
  <c r="AA72" i="14" s="1"/>
  <c r="AA73" i="14" s="1"/>
  <c r="BB65" i="14"/>
  <c r="BB66" i="14" s="1"/>
  <c r="BB67" i="14" s="1"/>
  <c r="BB68" i="14" s="1"/>
  <c r="AZ65" i="14"/>
  <c r="AZ66" i="14" s="1"/>
  <c r="AZ67" i="14" s="1"/>
  <c r="AZ68" i="14" s="1"/>
  <c r="AI65" i="14"/>
  <c r="AI66" i="14" s="1"/>
  <c r="AI67" i="14" s="1"/>
  <c r="AI68" i="14" s="1"/>
  <c r="AG65" i="14"/>
  <c r="AG66" i="14" s="1"/>
  <c r="AG67" i="14" s="1"/>
  <c r="AG68" i="14" s="1"/>
  <c r="BB64" i="14"/>
  <c r="AZ64" i="14"/>
  <c r="AG64" i="14"/>
  <c r="AO59" i="14"/>
  <c r="BB58" i="14"/>
  <c r="BB59" i="14" s="1"/>
  <c r="BB60" i="14" s="1"/>
  <c r="BB61" i="14" s="1"/>
  <c r="AZ58" i="14"/>
  <c r="AO58" i="14"/>
  <c r="AO60" i="14" s="1"/>
  <c r="AO61" i="14" s="1"/>
  <c r="AL58" i="14"/>
  <c r="AI58" i="14"/>
  <c r="AG58" i="14"/>
  <c r="BB55" i="14"/>
  <c r="AZ55" i="14"/>
  <c r="AO55" i="14"/>
  <c r="AL55" i="14"/>
  <c r="AI55" i="14"/>
  <c r="AG55" i="14"/>
  <c r="AB55" i="14"/>
  <c r="BB50" i="14"/>
  <c r="BB51" i="14" s="1"/>
  <c r="BB52" i="14" s="1"/>
  <c r="BB53" i="14" s="1"/>
  <c r="AZ50" i="14"/>
  <c r="AZ51" i="14" s="1"/>
  <c r="AZ52" i="14" s="1"/>
  <c r="AZ53" i="14" s="1"/>
  <c r="AO50" i="14"/>
  <c r="AO51" i="14" s="1"/>
  <c r="AO52" i="14" s="1"/>
  <c r="AO53" i="14" s="1"/>
  <c r="AL50" i="14"/>
  <c r="AL51" i="14" s="1"/>
  <c r="AL52" i="14" s="1"/>
  <c r="AL53" i="14" s="1"/>
  <c r="AI50" i="14"/>
  <c r="AI51" i="14" s="1"/>
  <c r="AI52" i="14" s="1"/>
  <c r="AI53" i="14" s="1"/>
  <c r="AG50" i="14"/>
  <c r="AG51" i="14" s="1"/>
  <c r="AG52" i="14" s="1"/>
  <c r="AG53" i="14" s="1"/>
  <c r="AB47" i="14"/>
  <c r="BB46" i="14"/>
  <c r="BB47" i="14" s="1"/>
  <c r="AZ46" i="14"/>
  <c r="AZ47" i="14" s="1"/>
  <c r="AL46" i="14"/>
  <c r="AL47" i="14" s="1"/>
  <c r="AI46" i="14"/>
  <c r="AI47" i="14" s="1"/>
  <c r="AG46" i="14"/>
  <c r="AG47" i="14" s="1"/>
  <c r="AL43" i="14"/>
  <c r="AL44" i="14" s="1"/>
  <c r="AL45" i="14" s="1"/>
  <c r="AL39" i="14"/>
  <c r="AL40" i="14" s="1"/>
  <c r="AL41" i="14" s="1"/>
  <c r="AL42" i="14" s="1"/>
  <c r="AO38" i="14"/>
  <c r="AO39" i="14" s="1"/>
  <c r="AL38" i="14"/>
  <c r="AL37" i="14"/>
  <c r="AI37" i="14"/>
  <c r="AI38" i="14" s="1"/>
  <c r="AG37" i="14"/>
  <c r="AG38" i="14" s="1"/>
  <c r="BB36" i="14"/>
  <c r="BB37" i="14" s="1"/>
  <c r="BB38" i="14" s="1"/>
  <c r="BB39" i="14" s="1"/>
  <c r="AZ36" i="14"/>
  <c r="AZ37" i="14" s="1"/>
  <c r="AZ38" i="14" s="1"/>
  <c r="AZ39" i="14" s="1"/>
  <c r="AL36" i="14"/>
  <c r="AI36" i="14"/>
  <c r="AG36" i="14"/>
  <c r="BB35" i="14"/>
  <c r="AZ35" i="14"/>
  <c r="AL35" i="14"/>
  <c r="AI35" i="14"/>
  <c r="AG35" i="14"/>
  <c r="AZ26" i="14"/>
  <c r="AZ27" i="14" s="1"/>
  <c r="AZ28" i="14" s="1"/>
  <c r="AZ29" i="14" s="1"/>
  <c r="AO26" i="14"/>
  <c r="AO27" i="14" s="1"/>
  <c r="AO28" i="14" s="1"/>
  <c r="AO29" i="14" s="1"/>
  <c r="AK26" i="14"/>
  <c r="AK27" i="14" s="1"/>
  <c r="AK28" i="14" s="1"/>
  <c r="AK29" i="14" s="1"/>
  <c r="AI26" i="14"/>
  <c r="AI27" i="14" s="1"/>
  <c r="AI28" i="14" s="1"/>
  <c r="AI29" i="14" s="1"/>
  <c r="AG26" i="14"/>
  <c r="AG27" i="14" s="1"/>
  <c r="AG28" i="14" s="1"/>
  <c r="AG29" i="14" s="1"/>
  <c r="AB26" i="14"/>
  <c r="AB27" i="14" s="1"/>
  <c r="AB28" i="14" s="1"/>
  <c r="AB29" i="14" s="1"/>
  <c r="AA26" i="14"/>
  <c r="AA27" i="14" s="1"/>
  <c r="AA28" i="14" s="1"/>
  <c r="AA29" i="14" s="1"/>
  <c r="AZ15" i="14"/>
  <c r="AZ16" i="14" s="1"/>
  <c r="AZ17" i="14" s="1"/>
  <c r="AZ18" i="14" s="1"/>
  <c r="AZ19" i="14" s="1"/>
  <c r="AZ20" i="14" s="1"/>
  <c r="AZ21" i="14" s="1"/>
  <c r="AZ22" i="14" s="1"/>
  <c r="AZ23" i="14" s="1"/>
  <c r="AO15" i="14"/>
  <c r="AO16" i="14" s="1"/>
  <c r="AO17" i="14" s="1"/>
  <c r="AO18" i="14" s="1"/>
  <c r="AO19" i="14" s="1"/>
  <c r="AO20" i="14" s="1"/>
  <c r="AO21" i="14" s="1"/>
  <c r="AO22" i="14" s="1"/>
  <c r="AO23" i="14" s="1"/>
  <c r="AK15" i="14"/>
  <c r="AK16" i="14" s="1"/>
  <c r="AK17" i="14" s="1"/>
  <c r="AK18" i="14" s="1"/>
  <c r="AK19" i="14" s="1"/>
  <c r="AK20" i="14" s="1"/>
  <c r="AK21" i="14" s="1"/>
  <c r="AK22" i="14" s="1"/>
  <c r="AK23" i="14" s="1"/>
  <c r="AI15" i="14"/>
  <c r="AI16" i="14" s="1"/>
  <c r="AI17" i="14" s="1"/>
  <c r="AI18" i="14" s="1"/>
  <c r="AI19" i="14" s="1"/>
  <c r="AI20" i="14" s="1"/>
  <c r="AI21" i="14" s="1"/>
  <c r="AI22" i="14" s="1"/>
  <c r="AI23" i="14" s="1"/>
  <c r="AG15" i="14"/>
  <c r="AG16" i="14" s="1"/>
  <c r="AG17" i="14" s="1"/>
  <c r="AG18" i="14" s="1"/>
  <c r="AG19" i="14" s="1"/>
  <c r="AG20" i="14" s="1"/>
  <c r="AG21" i="14" s="1"/>
  <c r="AG22" i="14" s="1"/>
  <c r="AG23" i="14" s="1"/>
  <c r="AB15" i="14"/>
  <c r="AB16" i="14" s="1"/>
  <c r="AB17" i="14" s="1"/>
  <c r="AB18" i="14" s="1"/>
  <c r="AB19" i="14" s="1"/>
  <c r="AB20" i="14" s="1"/>
  <c r="AB21" i="14" s="1"/>
  <c r="AB22" i="14" s="1"/>
  <c r="AB23" i="14" s="1"/>
  <c r="AA15" i="14"/>
  <c r="AA16" i="14" s="1"/>
  <c r="AA17" i="14" s="1"/>
  <c r="AA18" i="14" s="1"/>
  <c r="AA19" i="14" s="1"/>
  <c r="AA20" i="14" s="1"/>
  <c r="AA21" i="14" s="1"/>
  <c r="AA22" i="14" s="1"/>
  <c r="AA23" i="14" s="1"/>
  <c r="AG6" i="14"/>
  <c r="AG9" i="14" s="1"/>
  <c r="AG12" i="14" s="1"/>
  <c r="AG5" i="14"/>
  <c r="AG8" i="14" s="1"/>
  <c r="AG11" i="14" s="1"/>
  <c r="AZ4" i="14"/>
  <c r="AZ5" i="14" s="1"/>
  <c r="AZ6" i="14" s="1"/>
  <c r="AZ7" i="14" s="1"/>
  <c r="AZ8" i="14" s="1"/>
  <c r="AZ9" i="14" s="1"/>
  <c r="AZ10" i="14" s="1"/>
  <c r="AZ11" i="14" s="1"/>
  <c r="AZ12" i="14" s="1"/>
  <c r="AO4" i="14"/>
  <c r="AO5" i="14" s="1"/>
  <c r="AO6" i="14" s="1"/>
  <c r="AO7" i="14" s="1"/>
  <c r="AO8" i="14" s="1"/>
  <c r="AO9" i="14" s="1"/>
  <c r="AO10" i="14" s="1"/>
  <c r="AO11" i="14" s="1"/>
  <c r="AO12" i="14" s="1"/>
  <c r="AK4" i="14"/>
  <c r="AK5" i="14" s="1"/>
  <c r="AK6" i="14" s="1"/>
  <c r="AK7" i="14" s="1"/>
  <c r="AK8" i="14" s="1"/>
  <c r="AK9" i="14" s="1"/>
  <c r="AK10" i="14" s="1"/>
  <c r="AK11" i="14" s="1"/>
  <c r="AK12" i="14" s="1"/>
  <c r="AI4" i="14"/>
  <c r="AI5" i="14" s="1"/>
  <c r="AI6" i="14" s="1"/>
  <c r="AI7" i="14" s="1"/>
  <c r="AI8" i="14" s="1"/>
  <c r="AI9" i="14" s="1"/>
  <c r="AI10" i="14" s="1"/>
  <c r="AI11" i="14" s="1"/>
  <c r="AI12" i="14" s="1"/>
  <c r="AG4" i="14"/>
  <c r="AG7" i="14" s="1"/>
  <c r="AG10" i="14" s="1"/>
  <c r="AB4" i="14"/>
  <c r="AB5" i="14" s="1"/>
  <c r="AB6" i="14" s="1"/>
  <c r="AB7" i="14" s="1"/>
  <c r="AB8" i="14" s="1"/>
  <c r="AB9" i="14" s="1"/>
  <c r="AB10" i="14" s="1"/>
  <c r="AB11" i="14" s="1"/>
  <c r="AB12" i="14" s="1"/>
  <c r="AA4" i="14"/>
  <c r="AA5" i="14" s="1"/>
  <c r="AA6" i="14" s="1"/>
  <c r="AA7" i="14" s="1"/>
  <c r="AA8" i="14" s="1"/>
  <c r="AA9" i="14" s="1"/>
  <c r="AA10" i="14" s="1"/>
  <c r="AA11" i="14" s="1"/>
  <c r="AA12" i="14" s="1"/>
  <c r="BE30" i="12"/>
  <c r="BD30" i="12"/>
  <c r="BD29" i="12"/>
  <c r="BC30" i="12"/>
  <c r="BC29" i="12"/>
  <c r="BB29" i="12"/>
  <c r="BA30" i="12"/>
  <c r="BA29" i="12"/>
  <c r="AZ29" i="12"/>
  <c r="AE299" i="10"/>
  <c r="AE300" i="10" s="1"/>
  <c r="AE301" i="10" s="1"/>
  <c r="AE302" i="10" s="1"/>
  <c r="AC299" i="10"/>
  <c r="AC300" i="10" s="1"/>
  <c r="AC301" i="10" s="1"/>
  <c r="AC302" i="10" s="1"/>
  <c r="AE294" i="10"/>
  <c r="AE295" i="10" s="1"/>
  <c r="AE296" i="10" s="1"/>
  <c r="AE284" i="10"/>
  <c r="AE285" i="10" s="1"/>
  <c r="AE276" i="10"/>
  <c r="AE277" i="10" s="1"/>
  <c r="AE278" i="10" s="1"/>
  <c r="AE279" i="10" s="1"/>
  <c r="AC276" i="10"/>
  <c r="AC277" i="10" s="1"/>
  <c r="AC278" i="10" s="1"/>
  <c r="AC279" i="10" s="1"/>
  <c r="AC261" i="10"/>
  <c r="AC262" i="10" s="1"/>
  <c r="AC263" i="10" s="1"/>
  <c r="AC264" i="10" s="1"/>
  <c r="AC265" i="10" s="1"/>
  <c r="AC270" i="10" s="1"/>
  <c r="AK217" i="11"/>
  <c r="AJ217" i="11"/>
  <c r="AI217" i="11"/>
  <c r="AK216" i="11"/>
  <c r="AJ216" i="11"/>
  <c r="AI216" i="11"/>
  <c r="AK215" i="11"/>
  <c r="AJ215" i="11"/>
  <c r="AI215" i="11"/>
  <c r="AK214" i="11"/>
  <c r="AJ214" i="11"/>
  <c r="AI214" i="11"/>
  <c r="AK213" i="11"/>
  <c r="AJ213" i="11"/>
  <c r="AI213" i="11"/>
  <c r="AA214" i="11"/>
  <c r="Z214" i="11"/>
  <c r="Y214" i="11"/>
  <c r="AH213" i="11"/>
  <c r="AG213" i="11"/>
  <c r="AF213" i="11"/>
  <c r="AE213" i="11"/>
  <c r="AD213" i="11"/>
  <c r="AC213" i="11"/>
  <c r="AA213" i="11"/>
  <c r="Z213" i="11"/>
  <c r="Y213" i="11"/>
  <c r="AA208" i="11"/>
  <c r="AC208" i="11"/>
  <c r="AH208" i="11"/>
  <c r="AG208" i="11"/>
  <c r="AF208" i="11"/>
  <c r="AE208" i="11"/>
  <c r="AD208" i="11"/>
  <c r="Z208" i="11"/>
  <c r="Y208" i="11"/>
  <c r="AM271" i="10"/>
  <c r="AM272" i="10" s="1"/>
  <c r="AM273" i="10" s="1"/>
  <c r="AM261" i="10"/>
  <c r="AM262" i="10" s="1"/>
  <c r="AM263" i="10" s="1"/>
  <c r="AM264" i="10" s="1"/>
  <c r="AM265" i="10" s="1"/>
  <c r="AM266" i="10" s="1"/>
  <c r="AM267" i="10" s="1"/>
  <c r="AM268" i="10" s="1"/>
  <c r="AN216" i="10"/>
  <c r="AN217" i="10" s="1"/>
  <c r="AN218" i="10" s="1"/>
  <c r="AN219" i="10" s="1"/>
  <c r="AN220" i="10" s="1"/>
  <c r="AN233" i="10"/>
  <c r="AN234" i="10" s="1"/>
  <c r="AN235" i="10" s="1"/>
  <c r="AN236" i="10" s="1"/>
  <c r="AN237" i="10" s="1"/>
  <c r="AN227" i="10"/>
  <c r="AN228" i="10" s="1"/>
  <c r="AN229" i="10" s="1"/>
  <c r="AN230" i="10" s="1"/>
  <c r="AN231" i="10" s="1"/>
  <c r="AF232" i="10"/>
  <c r="AD232" i="10"/>
  <c r="AK4" i="10"/>
  <c r="AK5" i="10" s="1"/>
  <c r="AK6" i="10" s="1"/>
  <c r="AK7" i="10" s="1"/>
  <c r="AK8" i="10" s="1"/>
  <c r="AK9" i="10" s="1"/>
  <c r="AK10" i="10" s="1"/>
  <c r="AK11" i="10" s="1"/>
  <c r="AK12" i="10" s="1"/>
  <c r="AZ253" i="10"/>
  <c r="AZ15" i="10"/>
  <c r="AZ87" i="10"/>
  <c r="AZ93" i="10"/>
  <c r="AZ94" i="10" s="1"/>
  <c r="AZ89" i="10"/>
  <c r="AZ90" i="10" s="1"/>
  <c r="AZ91" i="10" s="1"/>
  <c r="AZ150" i="10"/>
  <c r="AZ151" i="10" s="1"/>
  <c r="AZ152" i="10" s="1"/>
  <c r="AZ153" i="10" s="1"/>
  <c r="AZ154" i="10" s="1"/>
  <c r="AZ155" i="10" s="1"/>
  <c r="AZ145" i="10"/>
  <c r="AZ146" i="10" s="1"/>
  <c r="AZ147" i="10" s="1"/>
  <c r="AZ137" i="10"/>
  <c r="AZ138" i="10" s="1"/>
  <c r="AZ139" i="10" s="1"/>
  <c r="AZ140" i="10" s="1"/>
  <c r="AZ141" i="10" s="1"/>
  <c r="AZ142" i="10" s="1"/>
  <c r="AZ254" i="10"/>
  <c r="AZ255" i="10"/>
  <c r="AZ249" i="10"/>
  <c r="AZ250" i="10" s="1"/>
  <c r="AZ240" i="10"/>
  <c r="AZ241" i="10" s="1"/>
  <c r="AZ242" i="10" s="1"/>
  <c r="AZ212" i="10"/>
  <c r="AZ213" i="10"/>
  <c r="AZ214" i="10"/>
  <c r="AZ215" i="10"/>
  <c r="AZ216" i="10"/>
  <c r="AZ217" i="10"/>
  <c r="AZ218" i="10"/>
  <c r="AZ219" i="10"/>
  <c r="AZ220" i="10"/>
  <c r="AZ223" i="10"/>
  <c r="AZ224" i="10" s="1"/>
  <c r="AZ225" i="10" s="1"/>
  <c r="AZ226" i="10" s="1"/>
  <c r="AZ123" i="10"/>
  <c r="AZ124" i="10" s="1"/>
  <c r="AZ116" i="10"/>
  <c r="AZ117" i="10"/>
  <c r="AZ118" i="10"/>
  <c r="AZ119" i="10" s="1"/>
  <c r="AZ120" i="10" s="1"/>
  <c r="AZ115" i="10"/>
  <c r="AZ108" i="10"/>
  <c r="AZ109" i="10"/>
  <c r="AZ110" i="10" s="1"/>
  <c r="AZ111" i="10" s="1"/>
  <c r="AZ101" i="10"/>
  <c r="AZ102" i="10" s="1"/>
  <c r="AZ103" i="10" s="1"/>
  <c r="AZ104" i="10" s="1"/>
  <c r="AZ105" i="10" s="1"/>
  <c r="AZ58" i="10"/>
  <c r="AZ26" i="10"/>
  <c r="AZ27" i="10" s="1"/>
  <c r="AZ28" i="10" s="1"/>
  <c r="AZ29" i="10" s="1"/>
  <c r="AZ4" i="10"/>
  <c r="AZ5" i="10" s="1"/>
  <c r="AZ6" i="10" s="1"/>
  <c r="AZ16" i="10"/>
  <c r="AZ17" i="10" s="1"/>
  <c r="AZ18" i="10" s="1"/>
  <c r="AZ19" i="10" s="1"/>
  <c r="AZ20" i="10" s="1"/>
  <c r="AZ21" i="10" s="1"/>
  <c r="AZ22" i="10" s="1"/>
  <c r="AZ23" i="10" s="1"/>
  <c r="AH195" i="11"/>
  <c r="AG195" i="11"/>
  <c r="AF195" i="11"/>
  <c r="AH194" i="11"/>
  <c r="AG194" i="11"/>
  <c r="AF194" i="11"/>
  <c r="AH193" i="11"/>
  <c r="AG193" i="11"/>
  <c r="AF193" i="11"/>
  <c r="AH192" i="11"/>
  <c r="AG192" i="11"/>
  <c r="AF192" i="11"/>
  <c r="AH191" i="11"/>
  <c r="AG191" i="11"/>
  <c r="AF191" i="11"/>
  <c r="AH190" i="11"/>
  <c r="AG190" i="11"/>
  <c r="AF190" i="11"/>
  <c r="AH189" i="11"/>
  <c r="AG189" i="11"/>
  <c r="AF189" i="11"/>
  <c r="AB195" i="11"/>
  <c r="AA195" i="11"/>
  <c r="Z195" i="11"/>
  <c r="Y195" i="11"/>
  <c r="AB194" i="11"/>
  <c r="AA194" i="11"/>
  <c r="Z194" i="11"/>
  <c r="Y194" i="11"/>
  <c r="AB193" i="11"/>
  <c r="AA193" i="11"/>
  <c r="Z193" i="11"/>
  <c r="Y193" i="11"/>
  <c r="AB192" i="11"/>
  <c r="AA192" i="11"/>
  <c r="Z192" i="11"/>
  <c r="Y192" i="11"/>
  <c r="AB191" i="11"/>
  <c r="AA191" i="11"/>
  <c r="Z191" i="11"/>
  <c r="Y191" i="11"/>
  <c r="AB190" i="11"/>
  <c r="AA190" i="11"/>
  <c r="Z190" i="11"/>
  <c r="Y190" i="11"/>
  <c r="AB189" i="11"/>
  <c r="AA189" i="11"/>
  <c r="Z189" i="11"/>
  <c r="Y189" i="11"/>
  <c r="AB203" i="11"/>
  <c r="AA203" i="11"/>
  <c r="Z203" i="11"/>
  <c r="Y203" i="11"/>
  <c r="AB202" i="11"/>
  <c r="AA202" i="11"/>
  <c r="Z202" i="11"/>
  <c r="Y202" i="11"/>
  <c r="AB201" i="11"/>
  <c r="AA201" i="11"/>
  <c r="Z201" i="11"/>
  <c r="Y201" i="11"/>
  <c r="AB200" i="11"/>
  <c r="AA200" i="11"/>
  <c r="Z200" i="11"/>
  <c r="Y200" i="11"/>
  <c r="AH203" i="11"/>
  <c r="AG203" i="11"/>
  <c r="AF203" i="11"/>
  <c r="AH202" i="11"/>
  <c r="AG202" i="11"/>
  <c r="AF202" i="11"/>
  <c r="AH201" i="11"/>
  <c r="AG201" i="11"/>
  <c r="AF201" i="11"/>
  <c r="AH200" i="11"/>
  <c r="AG200" i="11"/>
  <c r="AF200" i="11"/>
  <c r="AJ174" i="11"/>
  <c r="AJ173" i="11"/>
  <c r="AJ172" i="11"/>
  <c r="AJ171" i="11"/>
  <c r="AF177" i="11"/>
  <c r="AF176" i="11"/>
  <c r="AF175" i="11"/>
  <c r="AF174" i="11"/>
  <c r="AF173" i="11"/>
  <c r="AF172" i="11"/>
  <c r="AF171" i="11"/>
  <c r="AB184" i="11"/>
  <c r="AA184" i="11"/>
  <c r="Z184" i="11"/>
  <c r="Y184" i="11"/>
  <c r="AB183" i="11"/>
  <c r="AA183" i="11"/>
  <c r="Z183" i="11"/>
  <c r="Y183" i="11"/>
  <c r="AB182" i="11"/>
  <c r="AA182" i="11"/>
  <c r="Z182" i="11"/>
  <c r="Y182" i="11"/>
  <c r="AB177" i="11"/>
  <c r="AA177" i="11"/>
  <c r="Z177" i="11"/>
  <c r="Y177" i="11"/>
  <c r="AB176" i="11"/>
  <c r="AA176" i="11"/>
  <c r="Z176" i="11"/>
  <c r="Y176" i="11"/>
  <c r="AB175" i="11"/>
  <c r="AA175" i="11"/>
  <c r="Z175" i="11"/>
  <c r="Y175" i="11"/>
  <c r="AB174" i="11"/>
  <c r="AA174" i="11"/>
  <c r="Z174" i="11"/>
  <c r="Y174" i="11"/>
  <c r="AB173" i="11"/>
  <c r="AA173" i="11"/>
  <c r="Z173" i="11"/>
  <c r="Y173" i="11"/>
  <c r="AB172" i="11"/>
  <c r="AA172" i="11"/>
  <c r="Z172" i="11"/>
  <c r="Y172" i="11"/>
  <c r="AB171" i="11"/>
  <c r="AA171" i="11"/>
  <c r="Z171" i="11"/>
  <c r="Y171" i="11"/>
  <c r="AH166" i="11"/>
  <c r="AG166" i="11"/>
  <c r="AF166" i="11"/>
  <c r="AE166" i="11"/>
  <c r="AD166" i="11"/>
  <c r="AC166" i="11"/>
  <c r="AB166" i="11"/>
  <c r="AA166" i="11"/>
  <c r="AH165" i="11"/>
  <c r="AG165" i="11"/>
  <c r="AF165" i="11"/>
  <c r="AE165" i="11"/>
  <c r="AD165" i="11"/>
  <c r="AC165" i="11"/>
  <c r="AB165" i="11"/>
  <c r="AA165" i="11"/>
  <c r="AH164" i="11"/>
  <c r="AG164" i="11"/>
  <c r="AF164" i="11"/>
  <c r="AE164" i="11"/>
  <c r="AD164" i="11"/>
  <c r="AC164" i="11"/>
  <c r="AB164" i="11"/>
  <c r="AA164" i="11"/>
  <c r="AH163" i="11"/>
  <c r="AG163" i="11"/>
  <c r="AF163" i="11"/>
  <c r="AE163" i="11"/>
  <c r="AD163" i="11"/>
  <c r="AC163" i="11"/>
  <c r="AB163" i="11"/>
  <c r="AA163" i="11"/>
  <c r="AH162" i="11"/>
  <c r="AG162" i="11"/>
  <c r="AF162" i="11"/>
  <c r="AE162" i="11"/>
  <c r="AD162" i="11"/>
  <c r="AC162" i="11"/>
  <c r="AB162" i="11"/>
  <c r="AA162" i="11"/>
  <c r="AH161" i="11"/>
  <c r="AG161" i="11"/>
  <c r="AF161" i="11"/>
  <c r="AE161" i="11"/>
  <c r="AD161" i="11"/>
  <c r="AC161" i="11"/>
  <c r="AB161" i="11"/>
  <c r="AA161" i="11"/>
  <c r="AH160" i="11"/>
  <c r="AG160" i="11"/>
  <c r="AF160" i="11"/>
  <c r="AE160" i="11"/>
  <c r="AD160" i="11"/>
  <c r="AC160" i="11"/>
  <c r="AB160" i="11"/>
  <c r="AA160" i="11"/>
  <c r="AH152" i="11"/>
  <c r="AG152" i="11"/>
  <c r="AF152" i="11"/>
  <c r="AE152" i="11"/>
  <c r="AD152" i="11"/>
  <c r="AC152" i="11"/>
  <c r="AB152" i="11"/>
  <c r="AA152" i="11"/>
  <c r="Z152" i="11"/>
  <c r="Y152" i="11"/>
  <c r="AI153" i="11"/>
  <c r="AH139" i="11"/>
  <c r="AG139" i="11"/>
  <c r="AF139" i="11"/>
  <c r="AE139" i="11"/>
  <c r="AD139" i="11"/>
  <c r="AC139" i="11"/>
  <c r="AB139" i="11"/>
  <c r="Z166" i="11"/>
  <c r="Y166" i="11"/>
  <c r="Z165" i="11"/>
  <c r="Y165" i="11"/>
  <c r="Z164" i="11"/>
  <c r="Y164" i="11"/>
  <c r="Z163" i="11"/>
  <c r="Y163" i="11"/>
  <c r="Z162" i="11"/>
  <c r="Y162" i="11"/>
  <c r="Z161" i="11"/>
  <c r="Y161" i="11"/>
  <c r="Z160" i="11"/>
  <c r="Y160" i="11"/>
  <c r="Y139" i="11"/>
  <c r="AA139" i="11"/>
  <c r="Z139" i="11"/>
  <c r="Y114" i="11"/>
  <c r="AA114" i="11"/>
  <c r="Z114" i="11"/>
  <c r="AI140" i="11"/>
  <c r="AR134" i="11"/>
  <c r="AQ134" i="11"/>
  <c r="AP134" i="11"/>
  <c r="AR133" i="11"/>
  <c r="AQ133" i="11"/>
  <c r="AP133" i="11"/>
  <c r="AR132" i="11"/>
  <c r="AQ132" i="11"/>
  <c r="AP132" i="11"/>
  <c r="AR127" i="11"/>
  <c r="AQ127" i="11"/>
  <c r="AP127" i="11"/>
  <c r="AR126" i="11"/>
  <c r="AQ126" i="11"/>
  <c r="AP126" i="11"/>
  <c r="AR125" i="11"/>
  <c r="AQ125" i="11"/>
  <c r="AP125" i="11"/>
  <c r="AN134" i="11"/>
  <c r="AN133" i="11"/>
  <c r="AN132" i="11"/>
  <c r="AN127" i="11"/>
  <c r="AN126" i="11"/>
  <c r="AN125" i="11"/>
  <c r="AR120" i="11"/>
  <c r="AQ120" i="11"/>
  <c r="AP120" i="11"/>
  <c r="AR119" i="11"/>
  <c r="AQ119" i="11"/>
  <c r="AP119" i="11"/>
  <c r="AR118" i="11"/>
  <c r="AQ118" i="11"/>
  <c r="AP118" i="11"/>
  <c r="AR117" i="11"/>
  <c r="AQ117" i="11"/>
  <c r="AP117" i="11"/>
  <c r="AR116" i="11"/>
  <c r="AQ116" i="11"/>
  <c r="AP116" i="11"/>
  <c r="AR115" i="11"/>
  <c r="AQ115" i="11"/>
  <c r="AP115" i="11"/>
  <c r="AR114" i="11"/>
  <c r="AQ114" i="11"/>
  <c r="AP114" i="11"/>
  <c r="AN120" i="11"/>
  <c r="AN119" i="11"/>
  <c r="AN118" i="11"/>
  <c r="AN117" i="11"/>
  <c r="AN116" i="11"/>
  <c r="AN115" i="11"/>
  <c r="AN114" i="11"/>
  <c r="AA134" i="11"/>
  <c r="Z134" i="11"/>
  <c r="Y134" i="11"/>
  <c r="AA133" i="11"/>
  <c r="Z133" i="11"/>
  <c r="Y133" i="11"/>
  <c r="AA132" i="11"/>
  <c r="Z132" i="11"/>
  <c r="Y132" i="11"/>
  <c r="AK134" i="11"/>
  <c r="AJ134" i="11"/>
  <c r="AI134" i="11"/>
  <c r="AH134" i="11"/>
  <c r="AG134" i="11"/>
  <c r="AF134" i="11"/>
  <c r="AE134" i="11"/>
  <c r="AD134" i="11"/>
  <c r="AC134" i="11"/>
  <c r="AK133" i="11"/>
  <c r="AJ133" i="11"/>
  <c r="AI133" i="11"/>
  <c r="AH133" i="11"/>
  <c r="AG133" i="11"/>
  <c r="AF133" i="11"/>
  <c r="AE133" i="11"/>
  <c r="AD133" i="11"/>
  <c r="AC133" i="11"/>
  <c r="AK132" i="11"/>
  <c r="AJ132" i="11"/>
  <c r="AI132" i="11"/>
  <c r="AH132" i="11"/>
  <c r="AG132" i="11"/>
  <c r="AF132" i="11"/>
  <c r="AE132" i="11"/>
  <c r="AD132" i="11"/>
  <c r="AC132" i="11"/>
  <c r="AK127" i="11"/>
  <c r="AJ127" i="11"/>
  <c r="AI127" i="11"/>
  <c r="AH127" i="11"/>
  <c r="AG127" i="11"/>
  <c r="AF127" i="11"/>
  <c r="AE127" i="11"/>
  <c r="AD127" i="11"/>
  <c r="AC127" i="11"/>
  <c r="AK126" i="11"/>
  <c r="AJ126" i="11"/>
  <c r="AI126" i="11"/>
  <c r="AH126" i="11"/>
  <c r="AG126" i="11"/>
  <c r="AF126" i="11"/>
  <c r="AE126" i="11"/>
  <c r="AD126" i="11"/>
  <c r="AC126" i="11"/>
  <c r="AK125" i="11"/>
  <c r="AJ125" i="11"/>
  <c r="AI125" i="11"/>
  <c r="AH125" i="11"/>
  <c r="AG125" i="11"/>
  <c r="AF125" i="11"/>
  <c r="AE125" i="11"/>
  <c r="AD125" i="11"/>
  <c r="AC125" i="11"/>
  <c r="AA127" i="11"/>
  <c r="Z127" i="11"/>
  <c r="Y127" i="11"/>
  <c r="AA126" i="11"/>
  <c r="Z126" i="11"/>
  <c r="Y126" i="11"/>
  <c r="AA125" i="11"/>
  <c r="Z125" i="11"/>
  <c r="Y125" i="11"/>
  <c r="AF119" i="11"/>
  <c r="AA115" i="11"/>
  <c r="Z115" i="11"/>
  <c r="Y115" i="11"/>
  <c r="AK114" i="11"/>
  <c r="AJ114" i="11"/>
  <c r="AI114" i="11"/>
  <c r="AH114" i="11"/>
  <c r="AG114" i="11"/>
  <c r="AF114" i="11"/>
  <c r="AE114" i="11"/>
  <c r="AD114" i="11"/>
  <c r="AC114" i="11"/>
  <c r="AY205" i="10"/>
  <c r="AY206" i="10" s="1"/>
  <c r="AR106" i="11"/>
  <c r="AQ106" i="11"/>
  <c r="AP106" i="11"/>
  <c r="AN106" i="11"/>
  <c r="AO107" i="11"/>
  <c r="AR93" i="11"/>
  <c r="AQ93" i="11"/>
  <c r="AP93" i="11"/>
  <c r="AC93" i="11"/>
  <c r="AN93" i="11"/>
  <c r="AO94" i="11"/>
  <c r="AH63" i="11"/>
  <c r="AB107" i="11"/>
  <c r="AB108" i="11" s="1"/>
  <c r="AB109" i="11" s="1"/>
  <c r="AK109" i="11"/>
  <c r="AJ109" i="11"/>
  <c r="AI109" i="11"/>
  <c r="AH109" i="11"/>
  <c r="AG109" i="11"/>
  <c r="AF109" i="11"/>
  <c r="AE109" i="11"/>
  <c r="AD109" i="11"/>
  <c r="AC109" i="11"/>
  <c r="AK108" i="11"/>
  <c r="AJ108" i="11"/>
  <c r="AI108" i="11"/>
  <c r="AH108" i="11"/>
  <c r="AG108" i="11"/>
  <c r="AF108" i="11"/>
  <c r="AE108" i="11"/>
  <c r="AD108" i="11"/>
  <c r="AC108" i="11"/>
  <c r="AK107" i="11"/>
  <c r="AJ107" i="11"/>
  <c r="AI107" i="11"/>
  <c r="AH107" i="11"/>
  <c r="AG107" i="11"/>
  <c r="AF107" i="11"/>
  <c r="AE107" i="11"/>
  <c r="AD107" i="11"/>
  <c r="AC107" i="11"/>
  <c r="AK106" i="11"/>
  <c r="AJ106" i="11"/>
  <c r="AI106" i="11"/>
  <c r="AH106" i="11"/>
  <c r="AG106" i="11"/>
  <c r="AF106" i="11"/>
  <c r="AE106" i="11"/>
  <c r="AD106" i="11"/>
  <c r="AC106" i="11"/>
  <c r="AB94" i="11"/>
  <c r="AB95" i="11" s="1"/>
  <c r="AI95" i="11" s="1"/>
  <c r="AK95" i="11"/>
  <c r="AJ95" i="11"/>
  <c r="AH95" i="11"/>
  <c r="AG95" i="11"/>
  <c r="AF95" i="11"/>
  <c r="AE95" i="11"/>
  <c r="AD95" i="11"/>
  <c r="AA95" i="11"/>
  <c r="Z95" i="11"/>
  <c r="Y95" i="11"/>
  <c r="AK94" i="11"/>
  <c r="AJ94" i="11"/>
  <c r="AI94" i="11"/>
  <c r="AH94" i="11"/>
  <c r="AG94" i="11"/>
  <c r="AF94" i="11"/>
  <c r="AE94" i="11"/>
  <c r="AD94" i="11"/>
  <c r="AC94" i="11"/>
  <c r="AA94" i="11"/>
  <c r="Z94" i="11"/>
  <c r="Y94" i="11"/>
  <c r="AK93" i="11"/>
  <c r="AJ93" i="11"/>
  <c r="AI93" i="11"/>
  <c r="AH93" i="11"/>
  <c r="AG93" i="11"/>
  <c r="AF93" i="11"/>
  <c r="AE93" i="11"/>
  <c r="AD93" i="11"/>
  <c r="AA93" i="11"/>
  <c r="Z93" i="11"/>
  <c r="Y93" i="11"/>
  <c r="AF249" i="10"/>
  <c r="AF250" i="10" s="1"/>
  <c r="AD249" i="10"/>
  <c r="AD250" i="10" s="1"/>
  <c r="AF240" i="10"/>
  <c r="AF241" i="10" s="1"/>
  <c r="AF242" i="10" s="1"/>
  <c r="AD240" i="10"/>
  <c r="AD241" i="10" s="1"/>
  <c r="AD242" i="10" s="1"/>
  <c r="AF253" i="10"/>
  <c r="AF254" i="10" s="1"/>
  <c r="AF255" i="10" s="1"/>
  <c r="AD253" i="10"/>
  <c r="AD254" i="10" s="1"/>
  <c r="AD255" i="10" s="1"/>
  <c r="AF233" i="10"/>
  <c r="AF234" i="10" s="1"/>
  <c r="AF235" i="10" s="1"/>
  <c r="AF236" i="10" s="1"/>
  <c r="AF237" i="10" s="1"/>
  <c r="AD233" i="10"/>
  <c r="AD234" i="10" s="1"/>
  <c r="AD235" i="10" s="1"/>
  <c r="AD236" i="10" s="1"/>
  <c r="AD237" i="10" s="1"/>
  <c r="AF227" i="10"/>
  <c r="AF228" i="10" s="1"/>
  <c r="AF229" i="10" s="1"/>
  <c r="AF230" i="10" s="1"/>
  <c r="AF231" i="10" s="1"/>
  <c r="AD227" i="10"/>
  <c r="AD228" i="10" s="1"/>
  <c r="AD229" i="10" s="1"/>
  <c r="AD230" i="10" s="1"/>
  <c r="AD231" i="10" s="1"/>
  <c r="AF223" i="10"/>
  <c r="AF224" i="10" s="1"/>
  <c r="AD223" i="10"/>
  <c r="AD224" i="10" s="1"/>
  <c r="AD212" i="10"/>
  <c r="AD213" i="10"/>
  <c r="AD214" i="10" s="1"/>
  <c r="AD215" i="10" s="1"/>
  <c r="AD216" i="10" s="1"/>
  <c r="AD217" i="10" s="1"/>
  <c r="AD218" i="10" s="1"/>
  <c r="AD219" i="10" s="1"/>
  <c r="AD220" i="10" s="1"/>
  <c r="AF212" i="10"/>
  <c r="AF213" i="10" s="1"/>
  <c r="AF214" i="10" s="1"/>
  <c r="AF215" i="10" s="1"/>
  <c r="AF216" i="10" s="1"/>
  <c r="AF217" i="10" s="1"/>
  <c r="AF218" i="10" s="1"/>
  <c r="AF219" i="10" s="1"/>
  <c r="AF220" i="10" s="1"/>
  <c r="Y42" i="11"/>
  <c r="H6" i="3"/>
  <c r="AJ206" i="10"/>
  <c r="AH206" i="10"/>
  <c r="AA205" i="10"/>
  <c r="AA206" i="10" s="1"/>
  <c r="AW195" i="10"/>
  <c r="AW200" i="10" s="1"/>
  <c r="AW194" i="10"/>
  <c r="AW197" i="10" s="1"/>
  <c r="AW202" i="10" s="1"/>
  <c r="AW192" i="10"/>
  <c r="BB187" i="10"/>
  <c r="BB188" i="10" s="1"/>
  <c r="BB189" i="10" s="1"/>
  <c r="BB179" i="10"/>
  <c r="BB180" i="10" s="1"/>
  <c r="BB181" i="10" s="1"/>
  <c r="BB182" i="10" s="1"/>
  <c r="BB183" i="10" s="1"/>
  <c r="BB184" i="10" s="1"/>
  <c r="AA187" i="10"/>
  <c r="AA188" i="10" s="1"/>
  <c r="AA189" i="10" s="1"/>
  <c r="AI183" i="10"/>
  <c r="AG183" i="10"/>
  <c r="AI189" i="10"/>
  <c r="AG189" i="10"/>
  <c r="AZ179" i="10"/>
  <c r="AZ180" i="10" s="1"/>
  <c r="AZ181" i="10" s="1"/>
  <c r="AZ182" i="10" s="1"/>
  <c r="AZ183" i="10" s="1"/>
  <c r="AZ187" i="10"/>
  <c r="AZ188" i="10" s="1"/>
  <c r="AZ189" i="10" s="1"/>
  <c r="AW187" i="10"/>
  <c r="AW188" i="10" s="1"/>
  <c r="AW189" i="10" s="1"/>
  <c r="AW179" i="10"/>
  <c r="AW180" i="10" s="1"/>
  <c r="AW181" i="10" s="1"/>
  <c r="AW182" i="10" s="1"/>
  <c r="AW183" i="10" s="1"/>
  <c r="AW184" i="10" s="1"/>
  <c r="AA179" i="10"/>
  <c r="AA180" i="10" s="1"/>
  <c r="AA181" i="10" s="1"/>
  <c r="AA182" i="10" s="1"/>
  <c r="AA183" i="10" s="1"/>
  <c r="AA184" i="10" s="1"/>
  <c r="AI174" i="10"/>
  <c r="AI175" i="10" s="1"/>
  <c r="AI176" i="10" s="1"/>
  <c r="AG174" i="10"/>
  <c r="AG175" i="10" s="1"/>
  <c r="AG176" i="10" s="1"/>
  <c r="BB169" i="10"/>
  <c r="BB170" i="10" s="1"/>
  <c r="BB171" i="10" s="1"/>
  <c r="BB174" i="10"/>
  <c r="BB175" i="10" s="1"/>
  <c r="BB176" i="10" s="1"/>
  <c r="BB161" i="10"/>
  <c r="BB162" i="10" s="1"/>
  <c r="BB163" i="10" s="1"/>
  <c r="BB164" i="10" s="1"/>
  <c r="BB165" i="10" s="1"/>
  <c r="BB166" i="10" s="1"/>
  <c r="AZ174" i="10"/>
  <c r="AZ175" i="10" s="1"/>
  <c r="AZ176" i="10" s="1"/>
  <c r="AZ169" i="10"/>
  <c r="AZ170" i="10" s="1"/>
  <c r="AZ171" i="10" s="1"/>
  <c r="AW174" i="10"/>
  <c r="AW175" i="10"/>
  <c r="AW176" i="10"/>
  <c r="AZ161" i="10"/>
  <c r="AV174" i="10"/>
  <c r="AV175" i="10" s="1"/>
  <c r="AV176" i="10" s="1"/>
  <c r="AP174" i="10"/>
  <c r="AP175" i="10" s="1"/>
  <c r="AP176" i="10" s="1"/>
  <c r="AP169" i="10"/>
  <c r="AP170" i="10" s="1"/>
  <c r="AP171" i="10" s="1"/>
  <c r="AP161" i="10"/>
  <c r="AP162" i="10" s="1"/>
  <c r="AP163" i="10" s="1"/>
  <c r="AP164" i="10" s="1"/>
  <c r="AP165" i="10" s="1"/>
  <c r="AP166" i="10" s="1"/>
  <c r="AW169" i="10"/>
  <c r="AW170" i="10" s="1"/>
  <c r="AW171" i="10" s="1"/>
  <c r="AW161" i="10"/>
  <c r="AW162" i="10" s="1"/>
  <c r="AW163" i="10" s="1"/>
  <c r="AW164" i="10" s="1"/>
  <c r="AW165" i="10" s="1"/>
  <c r="AW166" i="10" s="1"/>
  <c r="AV161" i="10"/>
  <c r="AV162" i="10" s="1"/>
  <c r="AV163" i="10" s="1"/>
  <c r="AV164" i="10" s="1"/>
  <c r="AV165" i="10" s="1"/>
  <c r="AV166" i="10" s="1"/>
  <c r="AV169" i="10"/>
  <c r="AV170" i="10" s="1"/>
  <c r="AV171" i="10" s="1"/>
  <c r="BB205" i="10"/>
  <c r="BB206" i="10" s="1"/>
  <c r="BB203" i="10"/>
  <c r="BB202" i="10"/>
  <c r="BB201" i="10"/>
  <c r="BB200" i="10"/>
  <c r="AZ205" i="10"/>
  <c r="AZ206" i="10" s="1"/>
  <c r="AP203" i="10"/>
  <c r="AP202" i="10"/>
  <c r="AP201" i="10"/>
  <c r="AP200" i="10"/>
  <c r="AG203" i="10"/>
  <c r="AI203" i="10"/>
  <c r="AG202" i="10"/>
  <c r="AI202" i="10"/>
  <c r="AG201" i="10"/>
  <c r="AI201" i="10"/>
  <c r="AI200" i="10"/>
  <c r="AG200" i="10"/>
  <c r="AA203" i="10"/>
  <c r="AA202" i="10"/>
  <c r="AA201" i="10"/>
  <c r="AA200" i="10"/>
  <c r="AZ196" i="10"/>
  <c r="AZ201" i="10" s="1"/>
  <c r="AZ197" i="10"/>
  <c r="AZ202" i="10" s="1"/>
  <c r="AZ198" i="10"/>
  <c r="AZ203" i="10" s="1"/>
  <c r="AZ195" i="10"/>
  <c r="AZ200" i="10" s="1"/>
  <c r="AZ194" i="10"/>
  <c r="AZ193" i="10"/>
  <c r="AB194" i="10"/>
  <c r="AB192" i="10"/>
  <c r="AB193" i="10" s="1"/>
  <c r="AA174" i="10"/>
  <c r="AA175" i="10" s="1"/>
  <c r="AA176" i="10" s="1"/>
  <c r="AA169" i="10"/>
  <c r="AA170" i="10" s="1"/>
  <c r="AA171" i="10" s="1"/>
  <c r="AA161" i="10"/>
  <c r="AA162" i="10" s="1"/>
  <c r="AA163" i="10" s="1"/>
  <c r="AA164" i="10" s="1"/>
  <c r="AA165" i="10" s="1"/>
  <c r="AA166" i="10" s="1"/>
  <c r="AO59" i="10"/>
  <c r="AL55" i="10"/>
  <c r="AJ131" i="10"/>
  <c r="AJ132" i="10"/>
  <c r="AJ133" i="10"/>
  <c r="AJ134" i="10"/>
  <c r="AY131" i="10"/>
  <c r="AY132" i="10" s="1"/>
  <c r="AY133" i="10" s="1"/>
  <c r="AY134" i="10" s="1"/>
  <c r="BB130" i="10"/>
  <c r="BB131" i="10" s="1"/>
  <c r="BB132" i="10" s="1"/>
  <c r="BB133" i="10" s="1"/>
  <c r="BB134" i="10" s="1"/>
  <c r="AZ130" i="10"/>
  <c r="AZ131" i="10" s="1"/>
  <c r="AZ132" i="10" s="1"/>
  <c r="AZ133" i="10" s="1"/>
  <c r="AZ134" i="10" s="1"/>
  <c r="AV131" i="10"/>
  <c r="AV132" i="10" s="1"/>
  <c r="AV133" i="10" s="1"/>
  <c r="AV134" i="10" s="1"/>
  <c r="AJ114" i="10"/>
  <c r="AH131" i="10"/>
  <c r="AH132" i="10" s="1"/>
  <c r="AH133" i="10" s="1"/>
  <c r="AH134" i="10" s="1"/>
  <c r="AF131" i="10"/>
  <c r="AF132" i="10" s="1"/>
  <c r="AF133" i="10" s="1"/>
  <c r="AF134" i="10" s="1"/>
  <c r="AD131" i="10"/>
  <c r="AA130" i="10"/>
  <c r="AA131" i="10" s="1"/>
  <c r="AA132" i="10" s="1"/>
  <c r="AA133" i="10" s="1"/>
  <c r="AA134" i="10" s="1"/>
  <c r="BB127" i="10"/>
  <c r="AR139" i="10"/>
  <c r="AY109" i="10"/>
  <c r="AY110" i="10" s="1"/>
  <c r="AY111" i="10" s="1"/>
  <c r="BB108" i="10"/>
  <c r="BB109" i="10"/>
  <c r="BB110" i="10" s="1"/>
  <c r="BB111" i="10" s="1"/>
  <c r="AV108" i="10"/>
  <c r="AV109" i="10"/>
  <c r="AV110" i="10" s="1"/>
  <c r="AV111" i="10" s="1"/>
  <c r="AI101" i="10"/>
  <c r="AI102" i="10"/>
  <c r="AI108" i="10"/>
  <c r="AI103" i="10"/>
  <c r="AI104" i="10" s="1"/>
  <c r="AI105" i="10" s="1"/>
  <c r="AJ110" i="10"/>
  <c r="AJ111" i="10" s="1"/>
  <c r="AH108" i="10"/>
  <c r="AH109" i="10"/>
  <c r="AH110" i="10" s="1"/>
  <c r="AH111" i="10" s="1"/>
  <c r="AI109" i="10"/>
  <c r="AI110" i="10" s="1"/>
  <c r="AI111" i="10" s="1"/>
  <c r="AG108" i="10"/>
  <c r="AG109" i="10"/>
  <c r="AG110" i="10" s="1"/>
  <c r="AG111" i="10" s="1"/>
  <c r="AA111" i="10"/>
  <c r="AA110" i="10"/>
  <c r="AA109" i="10"/>
  <c r="AA108" i="10"/>
  <c r="AH102" i="10"/>
  <c r="AH103" i="10" s="1"/>
  <c r="AH104" i="10" s="1"/>
  <c r="AH105" i="10" s="1"/>
  <c r="AG101" i="10"/>
  <c r="AG102" i="10" s="1"/>
  <c r="AG103" i="10" s="1"/>
  <c r="AG104" i="10" s="1"/>
  <c r="AG105" i="10" s="1"/>
  <c r="AJ104" i="10"/>
  <c r="AJ105" i="10" s="1"/>
  <c r="AU150" i="10"/>
  <c r="AU151" i="10" s="1"/>
  <c r="AU152" i="10" s="1"/>
  <c r="AU153" i="10" s="1"/>
  <c r="AU154" i="10" s="1"/>
  <c r="AU155" i="10" s="1"/>
  <c r="BB150" i="10"/>
  <c r="BB151" i="10" s="1"/>
  <c r="BB152" i="10" s="1"/>
  <c r="BB153" i="10" s="1"/>
  <c r="BB154" i="10" s="1"/>
  <c r="BB155" i="10" s="1"/>
  <c r="AY150" i="10"/>
  <c r="AY151" i="10" s="1"/>
  <c r="AY152" i="10" s="1"/>
  <c r="AY153" i="10" s="1"/>
  <c r="AY154" i="10" s="1"/>
  <c r="AY155" i="10" s="1"/>
  <c r="AV150" i="10"/>
  <c r="AV151" i="10" s="1"/>
  <c r="AV152" i="10" s="1"/>
  <c r="AV153" i="10" s="1"/>
  <c r="AV154" i="10" s="1"/>
  <c r="AV155" i="10" s="1"/>
  <c r="AA150" i="10"/>
  <c r="AA151" i="10" s="1"/>
  <c r="AA152" i="10" s="1"/>
  <c r="AA153" i="10" s="1"/>
  <c r="AA154" i="10" s="1"/>
  <c r="AA155" i="10" s="1"/>
  <c r="AU145" i="10"/>
  <c r="AU146" i="10" s="1"/>
  <c r="AU147" i="10" s="1"/>
  <c r="BB145" i="10"/>
  <c r="BB146" i="10" s="1"/>
  <c r="BB147" i="10" s="1"/>
  <c r="AV145" i="10"/>
  <c r="AV146" i="10" s="1"/>
  <c r="AV147" i="10" s="1"/>
  <c r="AU137" i="10"/>
  <c r="AU138" i="10" s="1"/>
  <c r="AU139" i="10" s="1"/>
  <c r="AU140" i="10" s="1"/>
  <c r="AU141" i="10" s="1"/>
  <c r="AU142" i="10" s="1"/>
  <c r="AV137" i="10"/>
  <c r="AV138" i="10" s="1"/>
  <c r="AV139" i="10" s="1"/>
  <c r="AJ145" i="10"/>
  <c r="AJ146" i="10" s="1"/>
  <c r="AJ147" i="10" s="1"/>
  <c r="AH145" i="10"/>
  <c r="AH146" i="10" s="1"/>
  <c r="AH147" i="10" s="1"/>
  <c r="AF145" i="10"/>
  <c r="AF146" i="10" s="1"/>
  <c r="AF147" i="10" s="1"/>
  <c r="AD145" i="10"/>
  <c r="AD146" i="10" s="1"/>
  <c r="AD147" i="10" s="1"/>
  <c r="AA145" i="10"/>
  <c r="AA146" i="10" s="1"/>
  <c r="AA147" i="10" s="1"/>
  <c r="BB97" i="10"/>
  <c r="BB98" i="10" s="1"/>
  <c r="AZ97" i="10"/>
  <c r="AZ98" i="10" s="1"/>
  <c r="AV97" i="10"/>
  <c r="AV98" i="10" s="1"/>
  <c r="AU97" i="10"/>
  <c r="AU98" i="10" s="1"/>
  <c r="AI97" i="10"/>
  <c r="AI98" i="10" s="1"/>
  <c r="AG97" i="10"/>
  <c r="AG98" i="10" s="1"/>
  <c r="AF97" i="10"/>
  <c r="AF98" i="10" s="1"/>
  <c r="AD97" i="10"/>
  <c r="AD98" i="10" s="1"/>
  <c r="AD90" i="10"/>
  <c r="AA97" i="10"/>
  <c r="AA98" i="10" s="1"/>
  <c r="AU85" i="10"/>
  <c r="AO87" i="10"/>
  <c r="AI89" i="10"/>
  <c r="AI87" i="10"/>
  <c r="AO89" i="10"/>
  <c r="AO93" i="10"/>
  <c r="AO94" i="10"/>
  <c r="AO90" i="10"/>
  <c r="AO91" i="10"/>
  <c r="AZ78" i="10"/>
  <c r="AZ79" i="10" s="1"/>
  <c r="E2" i="1"/>
  <c r="AF35" i="11"/>
  <c r="T81" i="11"/>
  <c r="T80" i="11"/>
  <c r="T79" i="11"/>
  <c r="AC81" i="11"/>
  <c r="AB81" i="11"/>
  <c r="AA81" i="11"/>
  <c r="Z81" i="11"/>
  <c r="Y81" i="11"/>
  <c r="X81" i="11"/>
  <c r="W81" i="11"/>
  <c r="V81" i="11"/>
  <c r="U81" i="11"/>
  <c r="AC80" i="11"/>
  <c r="AB80" i="11"/>
  <c r="AA80" i="11"/>
  <c r="Z80" i="11"/>
  <c r="Y80" i="11"/>
  <c r="X80" i="11"/>
  <c r="W80" i="11"/>
  <c r="V80" i="11"/>
  <c r="U80" i="11"/>
  <c r="AC79" i="11"/>
  <c r="AB79" i="11"/>
  <c r="AA79" i="11"/>
  <c r="Z79" i="11"/>
  <c r="Y79" i="11"/>
  <c r="X79" i="11"/>
  <c r="W79" i="11"/>
  <c r="V79" i="11"/>
  <c r="U79" i="11"/>
  <c r="S81" i="11"/>
  <c r="R81" i="11"/>
  <c r="Q81" i="11"/>
  <c r="S80" i="11"/>
  <c r="R80" i="11"/>
  <c r="Q80" i="11"/>
  <c r="S79" i="11"/>
  <c r="R79" i="11"/>
  <c r="Q79" i="11"/>
  <c r="AG81" i="11"/>
  <c r="AG80" i="11"/>
  <c r="AG79" i="11"/>
  <c r="AF69" i="11"/>
  <c r="AF68" i="11"/>
  <c r="AF67" i="11"/>
  <c r="AF66" i="11"/>
  <c r="AF65" i="11"/>
  <c r="AF64" i="11"/>
  <c r="AF63" i="11"/>
  <c r="AJ69" i="11"/>
  <c r="AI69" i="11"/>
  <c r="AH69" i="11"/>
  <c r="AJ68" i="11"/>
  <c r="AI68" i="11"/>
  <c r="AH68" i="11"/>
  <c r="AJ67" i="11"/>
  <c r="AI67" i="11"/>
  <c r="AH67" i="11"/>
  <c r="AJ66" i="11"/>
  <c r="AI66" i="11"/>
  <c r="AH66" i="11"/>
  <c r="AJ65" i="11"/>
  <c r="AI65" i="11"/>
  <c r="AH65" i="11"/>
  <c r="AJ64" i="11"/>
  <c r="AI64" i="11"/>
  <c r="AH64" i="11"/>
  <c r="AJ63" i="11"/>
  <c r="AI63" i="11"/>
  <c r="AG75" i="11"/>
  <c r="AG74" i="11"/>
  <c r="AG73" i="11"/>
  <c r="T75" i="11"/>
  <c r="T74" i="11"/>
  <c r="T73" i="11"/>
  <c r="S69" i="11"/>
  <c r="R69" i="11"/>
  <c r="Q69" i="11"/>
  <c r="S68" i="11"/>
  <c r="R68" i="11"/>
  <c r="Q68" i="11"/>
  <c r="S67" i="11"/>
  <c r="R67" i="11"/>
  <c r="Q67" i="11"/>
  <c r="S66" i="11"/>
  <c r="R66" i="11"/>
  <c r="Q66" i="11"/>
  <c r="S65" i="11"/>
  <c r="R65" i="11"/>
  <c r="Q65" i="11"/>
  <c r="S64" i="11"/>
  <c r="R64" i="11"/>
  <c r="Q64" i="11"/>
  <c r="S63" i="11"/>
  <c r="R63" i="11"/>
  <c r="Q63" i="11"/>
  <c r="AC69" i="11"/>
  <c r="AB69" i="11"/>
  <c r="AA69" i="11"/>
  <c r="Z69" i="11"/>
  <c r="Y69" i="11"/>
  <c r="X69" i="11"/>
  <c r="W69" i="11"/>
  <c r="V69" i="11"/>
  <c r="U69" i="11"/>
  <c r="AC68" i="11"/>
  <c r="AB68" i="11"/>
  <c r="AA68" i="11"/>
  <c r="Z68" i="11"/>
  <c r="Y68" i="11"/>
  <c r="X68" i="11"/>
  <c r="W68" i="11"/>
  <c r="V68" i="11"/>
  <c r="U68" i="11"/>
  <c r="AC67" i="11"/>
  <c r="AB67" i="11"/>
  <c r="AA67" i="11"/>
  <c r="Z67" i="11"/>
  <c r="Y67" i="11"/>
  <c r="X67" i="11"/>
  <c r="W67" i="11"/>
  <c r="V67" i="11"/>
  <c r="U67" i="11"/>
  <c r="AC66" i="11"/>
  <c r="AB66" i="11"/>
  <c r="AA66" i="11"/>
  <c r="Z66" i="11"/>
  <c r="Y66" i="11"/>
  <c r="X66" i="11"/>
  <c r="W66" i="11"/>
  <c r="V66" i="11"/>
  <c r="U66" i="11"/>
  <c r="AC65" i="11"/>
  <c r="AB65" i="11"/>
  <c r="AA65" i="11"/>
  <c r="Z65" i="11"/>
  <c r="Y65" i="11"/>
  <c r="X65" i="11"/>
  <c r="W65" i="11"/>
  <c r="V65" i="11"/>
  <c r="U65" i="11"/>
  <c r="AC64" i="11"/>
  <c r="AB64" i="11"/>
  <c r="AA64" i="11"/>
  <c r="Z64" i="11"/>
  <c r="Y64" i="11"/>
  <c r="X64" i="11"/>
  <c r="W64" i="11"/>
  <c r="V64" i="11"/>
  <c r="U64" i="11"/>
  <c r="AC63" i="11"/>
  <c r="AB63" i="11"/>
  <c r="AA63" i="11"/>
  <c r="Z63" i="11"/>
  <c r="Y63" i="11"/>
  <c r="X63" i="11"/>
  <c r="W63" i="11"/>
  <c r="V63" i="11"/>
  <c r="U63" i="11"/>
  <c r="AG50" i="11"/>
  <c r="AG49" i="11"/>
  <c r="AG48" i="11"/>
  <c r="AG47" i="11"/>
  <c r="T50" i="11"/>
  <c r="T49" i="11"/>
  <c r="T48" i="11"/>
  <c r="Z48" i="11" s="1"/>
  <c r="T47" i="11"/>
  <c r="AF43" i="11"/>
  <c r="AF42" i="11"/>
  <c r="AF41" i="11"/>
  <c r="AF40" i="11"/>
  <c r="AF39" i="11"/>
  <c r="AF38" i="11"/>
  <c r="AF37" i="11"/>
  <c r="AF36" i="11"/>
  <c r="Q43" i="11"/>
  <c r="Q42" i="11"/>
  <c r="Q41" i="11"/>
  <c r="Q40" i="11"/>
  <c r="Q39" i="11"/>
  <c r="Q38" i="11"/>
  <c r="Q37" i="11"/>
  <c r="Q36" i="11"/>
  <c r="Q35" i="11"/>
  <c r="R43" i="11"/>
  <c r="R42" i="11"/>
  <c r="S43" i="11"/>
  <c r="R41" i="11"/>
  <c r="R40" i="11"/>
  <c r="R39" i="11"/>
  <c r="R38" i="11"/>
  <c r="R37" i="11"/>
  <c r="R36" i="11"/>
  <c r="R35" i="11"/>
  <c r="S42" i="11"/>
  <c r="S41" i="11"/>
  <c r="S40" i="11"/>
  <c r="S39" i="11"/>
  <c r="S38" i="11"/>
  <c r="S37" i="11"/>
  <c r="S36" i="11"/>
  <c r="S35" i="11"/>
  <c r="AJ43" i="11"/>
  <c r="AJ42" i="11"/>
  <c r="AJ41" i="11"/>
  <c r="AJ40" i="11"/>
  <c r="AJ39" i="11"/>
  <c r="AJ38" i="11"/>
  <c r="AJ37" i="11"/>
  <c r="AJ36" i="11"/>
  <c r="AJ35" i="11"/>
  <c r="AI43" i="11"/>
  <c r="AH43" i="11"/>
  <c r="AI42" i="11"/>
  <c r="AH42" i="11"/>
  <c r="AI41" i="11"/>
  <c r="AH41" i="11"/>
  <c r="AI40" i="11"/>
  <c r="AH40" i="11"/>
  <c r="AI39" i="11"/>
  <c r="AH39" i="11"/>
  <c r="AI38" i="11"/>
  <c r="AH38" i="11"/>
  <c r="AI37" i="11"/>
  <c r="AH37" i="11"/>
  <c r="AI36" i="11"/>
  <c r="AH36" i="11"/>
  <c r="AI35" i="11"/>
  <c r="AH35" i="11"/>
  <c r="AC43" i="11"/>
  <c r="AB43" i="11"/>
  <c r="AA43" i="11"/>
  <c r="Z43" i="11"/>
  <c r="Y43" i="11"/>
  <c r="X43" i="11"/>
  <c r="W43" i="11"/>
  <c r="V43" i="11"/>
  <c r="U43" i="11"/>
  <c r="AC42" i="11"/>
  <c r="AB42" i="11"/>
  <c r="AA42" i="11"/>
  <c r="Z42" i="11"/>
  <c r="X42" i="11"/>
  <c r="W42" i="11"/>
  <c r="V42" i="11"/>
  <c r="U42" i="11"/>
  <c r="AC41" i="11"/>
  <c r="AB41" i="11"/>
  <c r="AA41" i="11"/>
  <c r="Z41" i="11"/>
  <c r="Y41" i="11"/>
  <c r="X41" i="11"/>
  <c r="W41" i="11"/>
  <c r="V41" i="11"/>
  <c r="U41" i="11"/>
  <c r="AC40" i="11"/>
  <c r="AB40" i="11"/>
  <c r="AA40" i="11"/>
  <c r="Z40" i="11"/>
  <c r="Y40" i="11"/>
  <c r="X40" i="11"/>
  <c r="W40" i="11"/>
  <c r="V40" i="11"/>
  <c r="U40" i="11"/>
  <c r="AC39" i="11"/>
  <c r="AB39" i="11"/>
  <c r="AA39" i="11"/>
  <c r="Z39" i="11"/>
  <c r="Y39" i="11"/>
  <c r="X39" i="11"/>
  <c r="W39" i="11"/>
  <c r="V39" i="11"/>
  <c r="U39" i="11"/>
  <c r="AC38" i="11"/>
  <c r="AB38" i="11"/>
  <c r="AA38" i="11"/>
  <c r="Z38" i="11"/>
  <c r="Y38" i="11"/>
  <c r="X38" i="11"/>
  <c r="W38" i="11"/>
  <c r="V38" i="11"/>
  <c r="U38" i="11"/>
  <c r="AC37" i="11"/>
  <c r="AB37" i="11"/>
  <c r="AA37" i="11"/>
  <c r="Z37" i="11"/>
  <c r="Y37" i="11"/>
  <c r="X37" i="11"/>
  <c r="W37" i="11"/>
  <c r="V37" i="11"/>
  <c r="U37" i="11"/>
  <c r="AC36" i="11"/>
  <c r="AB36" i="11"/>
  <c r="AA36" i="11"/>
  <c r="Z36" i="11"/>
  <c r="Y36" i="11"/>
  <c r="X36" i="11"/>
  <c r="W36" i="11"/>
  <c r="V36" i="11"/>
  <c r="U36" i="11"/>
  <c r="AC35" i="11"/>
  <c r="AB35" i="11"/>
  <c r="AA35" i="11"/>
  <c r="Z35" i="11"/>
  <c r="Y35" i="11"/>
  <c r="X35" i="11"/>
  <c r="W35" i="11"/>
  <c r="V35" i="11"/>
  <c r="U35" i="11"/>
  <c r="AC23" i="11"/>
  <c r="AB23" i="11"/>
  <c r="AA23" i="11"/>
  <c r="Z23" i="11"/>
  <c r="S23" i="11"/>
  <c r="Y23" i="11"/>
  <c r="X23" i="11"/>
  <c r="W23" i="11"/>
  <c r="V23" i="11"/>
  <c r="U23" i="11"/>
  <c r="T24" i="11"/>
  <c r="C23" i="11"/>
  <c r="D23" i="11"/>
  <c r="B23" i="11"/>
  <c r="AV124" i="10"/>
  <c r="BB123" i="10"/>
  <c r="BB124" i="10" s="1"/>
  <c r="AV123" i="10"/>
  <c r="AQ124" i="10"/>
  <c r="AQ123" i="10"/>
  <c r="AJ124" i="10"/>
  <c r="AI124" i="10"/>
  <c r="AH124" i="10"/>
  <c r="AG124" i="10"/>
  <c r="AJ123" i="10"/>
  <c r="AI123" i="10"/>
  <c r="AH123" i="10"/>
  <c r="AG123" i="10"/>
  <c r="BB114" i="10"/>
  <c r="BB115" i="10" s="1"/>
  <c r="BB116" i="10" s="1"/>
  <c r="AZ114" i="10"/>
  <c r="AV115" i="10"/>
  <c r="AV116" i="10" s="1"/>
  <c r="AV117" i="10" s="1"/>
  <c r="AV118" i="10" s="1"/>
  <c r="AV119" i="10" s="1"/>
  <c r="AV120" i="10" s="1"/>
  <c r="AL116" i="10"/>
  <c r="AH115" i="10"/>
  <c r="AH116" i="10" s="1"/>
  <c r="AH117" i="10" s="1"/>
  <c r="AH118" i="10" s="1"/>
  <c r="AH119" i="10" s="1"/>
  <c r="AH120" i="10" s="1"/>
  <c r="AF115" i="10"/>
  <c r="AD115" i="10"/>
  <c r="AJ116" i="10"/>
  <c r="AJ117" i="10" s="1"/>
  <c r="AJ118" i="10" s="1"/>
  <c r="AJ119" i="10" s="1"/>
  <c r="AJ120" i="10" s="1"/>
  <c r="AF114" i="10"/>
  <c r="AF116" i="10" s="1"/>
  <c r="AF117" i="10" s="1"/>
  <c r="AF118" i="10" s="1"/>
  <c r="AF119" i="10" s="1"/>
  <c r="AF120" i="10" s="1"/>
  <c r="AD114" i="10"/>
  <c r="AD116" i="10" s="1"/>
  <c r="AD117" i="10" s="1"/>
  <c r="AD118" i="10" s="1"/>
  <c r="AD119" i="10" s="1"/>
  <c r="AD120" i="10" s="1"/>
  <c r="AA117" i="10"/>
  <c r="AA118" i="10" s="1"/>
  <c r="AA119" i="10" s="1"/>
  <c r="AA120" i="10" s="1"/>
  <c r="AA116" i="10"/>
  <c r="AA115" i="10"/>
  <c r="AA114" i="10"/>
  <c r="BB137" i="10"/>
  <c r="BB138" i="10" s="1"/>
  <c r="BB139" i="10" s="1"/>
  <c r="BB140" i="10" s="1"/>
  <c r="BB141" i="10" s="1"/>
  <c r="BB142" i="10" s="1"/>
  <c r="AR140" i="10"/>
  <c r="AR141" i="10" s="1"/>
  <c r="AR142" i="10" s="1"/>
  <c r="AJ142" i="10"/>
  <c r="AH142" i="10"/>
  <c r="AF142" i="10"/>
  <c r="AD142" i="10"/>
  <c r="AJ141" i="10"/>
  <c r="AH141" i="10"/>
  <c r="AF141" i="10"/>
  <c r="AD141" i="10"/>
  <c r="AJ140" i="10"/>
  <c r="AH140" i="10"/>
  <c r="AF140" i="10"/>
  <c r="AD140" i="10"/>
  <c r="AJ139" i="10"/>
  <c r="AH139" i="10"/>
  <c r="AF139" i="10"/>
  <c r="AD139" i="10"/>
  <c r="AJ138" i="10"/>
  <c r="AH138" i="10"/>
  <c r="AF138" i="10"/>
  <c r="AD138" i="10"/>
  <c r="AJ137" i="10"/>
  <c r="AH137" i="10"/>
  <c r="AF137" i="10"/>
  <c r="AD137" i="10"/>
  <c r="AA137" i="10"/>
  <c r="AA138" i="10" s="1"/>
  <c r="BB101" i="10"/>
  <c r="BB102" i="10" s="1"/>
  <c r="BB103" i="10" s="1"/>
  <c r="BB104" i="10" s="1"/>
  <c r="BB105" i="10" s="1"/>
  <c r="AV101" i="10"/>
  <c r="AV102" i="10" s="1"/>
  <c r="AV103" i="10" s="1"/>
  <c r="AV104" i="10" s="1"/>
  <c r="AV105" i="10" s="1"/>
  <c r="AA105" i="10"/>
  <c r="AA104" i="10"/>
  <c r="AA103" i="10"/>
  <c r="AA102" i="10"/>
  <c r="AA101" i="10"/>
  <c r="BB93" i="10"/>
  <c r="BB94" i="10" s="1"/>
  <c r="BB89" i="10"/>
  <c r="BB90" i="10" s="1"/>
  <c r="BB91" i="10" s="1"/>
  <c r="BB87" i="10"/>
  <c r="BB85" i="10"/>
  <c r="AZ85" i="10"/>
  <c r="AV93" i="10"/>
  <c r="AV94" i="10" s="1"/>
  <c r="AV89" i="10"/>
  <c r="AV90" i="10" s="1"/>
  <c r="AV91" i="10" s="1"/>
  <c r="AV87" i="10"/>
  <c r="AV85" i="10"/>
  <c r="AU93" i="10"/>
  <c r="AU94" i="10" s="1"/>
  <c r="AU89" i="10"/>
  <c r="AU90" i="10" s="1"/>
  <c r="AU91" i="10" s="1"/>
  <c r="AU87" i="10"/>
  <c r="AL93" i="10"/>
  <c r="AL94" i="10" s="1"/>
  <c r="AL89" i="10"/>
  <c r="AL90" i="10" s="1"/>
  <c r="AL91" i="10" s="1"/>
  <c r="AI93" i="10"/>
  <c r="AI94" i="10" s="1"/>
  <c r="AG93" i="10"/>
  <c r="AG94" i="10" s="1"/>
  <c r="AF93" i="10"/>
  <c r="AF94" i="10" s="1"/>
  <c r="AD93" i="10"/>
  <c r="AD94" i="10" s="1"/>
  <c r="AF90" i="10"/>
  <c r="AF91" i="10" s="1"/>
  <c r="AD91" i="10"/>
  <c r="AI90" i="10"/>
  <c r="AI91" i="10" s="1"/>
  <c r="AG89" i="10"/>
  <c r="AG90" i="10" s="1"/>
  <c r="AG91" i="10" s="1"/>
  <c r="AF89" i="10"/>
  <c r="AD89" i="10"/>
  <c r="AG87" i="10"/>
  <c r="AF87" i="10"/>
  <c r="AD87" i="10"/>
  <c r="AI85" i="10"/>
  <c r="AG85" i="10"/>
  <c r="AF85" i="10"/>
  <c r="AD85" i="10"/>
  <c r="AA93" i="10"/>
  <c r="AA94" i="10" s="1"/>
  <c r="AA89" i="10"/>
  <c r="AA90" i="10" s="1"/>
  <c r="AA91" i="10" s="1"/>
  <c r="AA87" i="10"/>
  <c r="AA85" i="10"/>
  <c r="BB78" i="10"/>
  <c r="BB79" i="10" s="1"/>
  <c r="AA78" i="10"/>
  <c r="AA79" i="10" s="1"/>
  <c r="BB75" i="10"/>
  <c r="AZ75" i="10"/>
  <c r="BB71" i="10"/>
  <c r="BB72" i="10" s="1"/>
  <c r="BB73" i="10" s="1"/>
  <c r="AZ71" i="10"/>
  <c r="AZ72" i="10" s="1"/>
  <c r="AZ73" i="10" s="1"/>
  <c r="AV75" i="10"/>
  <c r="AV71" i="10"/>
  <c r="AV72" i="10" s="1"/>
  <c r="AV73" i="10" s="1"/>
  <c r="AJ75" i="10"/>
  <c r="AI75" i="10"/>
  <c r="AH75" i="10"/>
  <c r="AG75" i="10"/>
  <c r="AI71" i="10"/>
  <c r="AI72" i="10" s="1"/>
  <c r="AI73" i="10" s="1"/>
  <c r="AG71" i="10"/>
  <c r="AG72" i="10" s="1"/>
  <c r="AG73" i="10" s="1"/>
  <c r="AA71" i="10"/>
  <c r="AA72" i="10" s="1"/>
  <c r="AA73" i="10" s="1"/>
  <c r="BB65" i="10"/>
  <c r="BB66" i="10" s="1"/>
  <c r="BB67" i="10" s="1"/>
  <c r="BB68" i="10" s="1"/>
  <c r="AZ65" i="10"/>
  <c r="AZ66" i="10" s="1"/>
  <c r="AZ67" i="10" s="1"/>
  <c r="AZ68" i="10" s="1"/>
  <c r="BB64" i="10"/>
  <c r="AZ64" i="10"/>
  <c r="AI65" i="10"/>
  <c r="AI66" i="10" s="1"/>
  <c r="AI67" i="10" s="1"/>
  <c r="AI68" i="10" s="1"/>
  <c r="AG65" i="10"/>
  <c r="AG66" i="10" s="1"/>
  <c r="AG67" i="10" s="1"/>
  <c r="AG68" i="10" s="1"/>
  <c r="AG64" i="10"/>
  <c r="BB58" i="10"/>
  <c r="BB59" i="10" s="1"/>
  <c r="BB60" i="10" s="1"/>
  <c r="BB61" i="10" s="1"/>
  <c r="AL58" i="10"/>
  <c r="AL59" i="10" s="1"/>
  <c r="AO58" i="10"/>
  <c r="AO60" i="10" s="1"/>
  <c r="AO61" i="10" s="1"/>
  <c r="AI58" i="10"/>
  <c r="AG58" i="10"/>
  <c r="BB55" i="10"/>
  <c r="BB50" i="10"/>
  <c r="BB51" i="10" s="1"/>
  <c r="BB52" i="10" s="1"/>
  <c r="BB53" i="10" s="1"/>
  <c r="AZ55" i="10"/>
  <c r="AZ50" i="10"/>
  <c r="AZ51" i="10" s="1"/>
  <c r="AZ52" i="10" s="1"/>
  <c r="AZ53" i="10" s="1"/>
  <c r="AL50" i="10"/>
  <c r="AL51" i="10" s="1"/>
  <c r="AL52" i="10" s="1"/>
  <c r="AL53" i="10" s="1"/>
  <c r="AO55" i="10"/>
  <c r="AO50" i="10"/>
  <c r="AO51" i="10" s="1"/>
  <c r="AO52" i="10" s="1"/>
  <c r="AO53" i="10" s="1"/>
  <c r="AI55" i="10"/>
  <c r="AI50" i="10"/>
  <c r="AI51" i="10" s="1"/>
  <c r="AI52" i="10" s="1"/>
  <c r="AI53" i="10" s="1"/>
  <c r="AG55" i="10"/>
  <c r="AG50" i="10"/>
  <c r="AG51" i="10" s="1"/>
  <c r="AG52" i="10" s="1"/>
  <c r="AG53" i="10" s="1"/>
  <c r="AB55" i="10"/>
  <c r="BB46" i="10"/>
  <c r="BB47" i="10" s="1"/>
  <c r="BB36" i="10"/>
  <c r="BB37" i="10" s="1"/>
  <c r="BB38" i="10" s="1"/>
  <c r="BB39" i="10" s="1"/>
  <c r="BB35" i="10"/>
  <c r="AZ46" i="10"/>
  <c r="AZ47" i="10" s="1"/>
  <c r="AZ36" i="10"/>
  <c r="AZ37" i="10" s="1"/>
  <c r="AZ38" i="10" s="1"/>
  <c r="AZ39" i="10" s="1"/>
  <c r="AZ35" i="10"/>
  <c r="AL46" i="10"/>
  <c r="AL47" i="10" s="1"/>
  <c r="AL43" i="10"/>
  <c r="AL44" i="10" s="1"/>
  <c r="AL45" i="10" s="1"/>
  <c r="AL39" i="10"/>
  <c r="AL40" i="10" s="1"/>
  <c r="AL41" i="10" s="1"/>
  <c r="AL42" i="10" s="1"/>
  <c r="AL38" i="10"/>
  <c r="AL37" i="10"/>
  <c r="AL36" i="10"/>
  <c r="AL35" i="10"/>
  <c r="AO38" i="10"/>
  <c r="AO39" i="10" s="1"/>
  <c r="AI46" i="10"/>
  <c r="AI47" i="10" s="1"/>
  <c r="AI37" i="10"/>
  <c r="AI38" i="10" s="1"/>
  <c r="AI36" i="10"/>
  <c r="AI35" i="10"/>
  <c r="AG46" i="10"/>
  <c r="AG37" i="10"/>
  <c r="AG36" i="10"/>
  <c r="AG35" i="10"/>
  <c r="AG47" i="10"/>
  <c r="AG38" i="10"/>
  <c r="AB47" i="10"/>
  <c r="AO26" i="10"/>
  <c r="AO27" i="10" s="1"/>
  <c r="AO28" i="10" s="1"/>
  <c r="AO29" i="10" s="1"/>
  <c r="AO15" i="10"/>
  <c r="AO16" i="10" s="1"/>
  <c r="AO17" i="10" s="1"/>
  <c r="AO18" i="10" s="1"/>
  <c r="AO19" i="10" s="1"/>
  <c r="AO20" i="10" s="1"/>
  <c r="AO21" i="10" s="1"/>
  <c r="AO22" i="10" s="1"/>
  <c r="AO23" i="10" s="1"/>
  <c r="AO4" i="10"/>
  <c r="AO5" i="10" s="1"/>
  <c r="AO6" i="10" s="1"/>
  <c r="AO7" i="10" s="1"/>
  <c r="AO8" i="10" s="1"/>
  <c r="AO9" i="10" s="1"/>
  <c r="AO10" i="10" s="1"/>
  <c r="AO11" i="10" s="1"/>
  <c r="AO12" i="10" s="1"/>
  <c r="AK26" i="10"/>
  <c r="AK27" i="10" s="1"/>
  <c r="AK28" i="10" s="1"/>
  <c r="AK29" i="10" s="1"/>
  <c r="AK15" i="10"/>
  <c r="AK16" i="10" s="1"/>
  <c r="AK17" i="10" s="1"/>
  <c r="AK18" i="10" s="1"/>
  <c r="AK19" i="10" s="1"/>
  <c r="AK20" i="10" s="1"/>
  <c r="AK21" i="10" s="1"/>
  <c r="AK22" i="10" s="1"/>
  <c r="AK23" i="10" s="1"/>
  <c r="AI26" i="10"/>
  <c r="AI27" i="10" s="1"/>
  <c r="AI28" i="10" s="1"/>
  <c r="AI29" i="10" s="1"/>
  <c r="AG26" i="10"/>
  <c r="AG27" i="10" s="1"/>
  <c r="AG28" i="10" s="1"/>
  <c r="AG29" i="10" s="1"/>
  <c r="AI15" i="10"/>
  <c r="AI16" i="10" s="1"/>
  <c r="AI17" i="10" s="1"/>
  <c r="AI18" i="10" s="1"/>
  <c r="AI19" i="10" s="1"/>
  <c r="AI20" i="10" s="1"/>
  <c r="AI21" i="10" s="1"/>
  <c r="AI22" i="10" s="1"/>
  <c r="AI23" i="10" s="1"/>
  <c r="AG15" i="10"/>
  <c r="AG16" i="10" s="1"/>
  <c r="AG17" i="10" s="1"/>
  <c r="AG18" i="10" s="1"/>
  <c r="AG19" i="10" s="1"/>
  <c r="AG20" i="10" s="1"/>
  <c r="AG21" i="10" s="1"/>
  <c r="AG22" i="10" s="1"/>
  <c r="AG23" i="10" s="1"/>
  <c r="AG6" i="10"/>
  <c r="AG9" i="10" s="1"/>
  <c r="AG12" i="10" s="1"/>
  <c r="AG5" i="10"/>
  <c r="AG8" i="10" s="1"/>
  <c r="AG11" i="10" s="1"/>
  <c r="AI4" i="10"/>
  <c r="AI5" i="10" s="1"/>
  <c r="AI6" i="10" s="1"/>
  <c r="AI7" i="10" s="1"/>
  <c r="AI8" i="10" s="1"/>
  <c r="AI9" i="10" s="1"/>
  <c r="AI10" i="10" s="1"/>
  <c r="AI11" i="10" s="1"/>
  <c r="AI12" i="10" s="1"/>
  <c r="AG4" i="10"/>
  <c r="AG7" i="10" s="1"/>
  <c r="AG10" i="10" s="1"/>
  <c r="AB26" i="10"/>
  <c r="AB27" i="10" s="1"/>
  <c r="AB28" i="10" s="1"/>
  <c r="AB29" i="10" s="1"/>
  <c r="AA26" i="10"/>
  <c r="AA27" i="10" s="1"/>
  <c r="AA28" i="10" s="1"/>
  <c r="AA29" i="10" s="1"/>
  <c r="AB15" i="10"/>
  <c r="AB16" i="10" s="1"/>
  <c r="AB17" i="10" s="1"/>
  <c r="AB18" i="10" s="1"/>
  <c r="AB19" i="10" s="1"/>
  <c r="AB20" i="10" s="1"/>
  <c r="AB21" i="10" s="1"/>
  <c r="AB22" i="10" s="1"/>
  <c r="AB23" i="10" s="1"/>
  <c r="AA15" i="10"/>
  <c r="AA16" i="10" s="1"/>
  <c r="AA17" i="10" s="1"/>
  <c r="AA18" i="10" s="1"/>
  <c r="AA19" i="10" s="1"/>
  <c r="AA20" i="10" s="1"/>
  <c r="AA21" i="10" s="1"/>
  <c r="AA22" i="10" s="1"/>
  <c r="AA23" i="10" s="1"/>
  <c r="AB4" i="10"/>
  <c r="AB5" i="10" s="1"/>
  <c r="AB6" i="10" s="1"/>
  <c r="AB7" i="10" s="1"/>
  <c r="AB8" i="10" s="1"/>
  <c r="AB9" i="10" s="1"/>
  <c r="AB10" i="10" s="1"/>
  <c r="AB11" i="10" s="1"/>
  <c r="AB12" i="10" s="1"/>
  <c r="AA4" i="10"/>
  <c r="AA5" i="10" s="1"/>
  <c r="AA6" i="10" s="1"/>
  <c r="AA7" i="10" s="1"/>
  <c r="AA8" i="10" s="1"/>
  <c r="AA9" i="10" s="1"/>
  <c r="AA10" i="10" s="1"/>
  <c r="AA11" i="10" s="1"/>
  <c r="AA12" i="10" s="1"/>
  <c r="N35" i="9"/>
  <c r="Y52" i="9"/>
  <c r="W52" i="9"/>
  <c r="S52" i="9"/>
  <c r="P52" i="9"/>
  <c r="L52" i="9"/>
  <c r="Y20" i="9"/>
  <c r="Y21" i="9" s="1"/>
  <c r="Y22" i="9" s="1"/>
  <c r="Y23" i="9" s="1"/>
  <c r="P25" i="9"/>
  <c r="S25" i="9"/>
  <c r="Y25" i="9"/>
  <c r="AA25" i="9"/>
  <c r="AA23" i="9"/>
  <c r="AA22" i="9"/>
  <c r="AA21" i="9"/>
  <c r="AA20" i="9"/>
  <c r="N20" i="9"/>
  <c r="N21" i="9" s="1"/>
  <c r="N22" i="9" s="1"/>
  <c r="N23" i="9" s="1"/>
  <c r="L20" i="9"/>
  <c r="L21" i="9" s="1"/>
  <c r="L22" i="9" s="1"/>
  <c r="L23" i="9" s="1"/>
  <c r="N25" i="9"/>
  <c r="L25" i="9"/>
  <c r="G25" i="9"/>
  <c r="AA15" i="9"/>
  <c r="AA14" i="9"/>
  <c r="AA13" i="9"/>
  <c r="AA12" i="9"/>
  <c r="AA11" i="9"/>
  <c r="AA10" i="9"/>
  <c r="AA9" i="9"/>
  <c r="AA8" i="9"/>
  <c r="AA17" i="9"/>
  <c r="AA16" i="9"/>
  <c r="AA7" i="9"/>
  <c r="AA6" i="9"/>
  <c r="AA5" i="9"/>
  <c r="AA4" i="9"/>
  <c r="P8" i="9"/>
  <c r="P9" i="9"/>
  <c r="Y15" i="9"/>
  <c r="Y14" i="9"/>
  <c r="Y13" i="9"/>
  <c r="Y12" i="9"/>
  <c r="Y11" i="9"/>
  <c r="Y10" i="9"/>
  <c r="Y9" i="9"/>
  <c r="Y8" i="9"/>
  <c r="Y7" i="9"/>
  <c r="Y6" i="9"/>
  <c r="Y16" i="9"/>
  <c r="Y17" i="9"/>
  <c r="Y5" i="9"/>
  <c r="Y4" i="9"/>
  <c r="N17" i="9"/>
  <c r="L17" i="9"/>
  <c r="N16" i="9"/>
  <c r="L16" i="9"/>
  <c r="P20" i="9"/>
  <c r="P21" i="9"/>
  <c r="P22" i="9"/>
  <c r="P23" i="9"/>
  <c r="S23" i="9"/>
  <c r="S22" i="9"/>
  <c r="S21" i="9"/>
  <c r="S20" i="9"/>
  <c r="N15" i="9"/>
  <c r="N14" i="9"/>
  <c r="L15" i="9"/>
  <c r="L14" i="9"/>
  <c r="N13" i="9"/>
  <c r="L13" i="9"/>
  <c r="N12" i="9"/>
  <c r="N11" i="9"/>
  <c r="N10" i="9"/>
  <c r="L12" i="9"/>
  <c r="L11" i="9"/>
  <c r="L10" i="9"/>
  <c r="N9" i="9"/>
  <c r="L9" i="9"/>
  <c r="N8" i="9"/>
  <c r="L8" i="9"/>
  <c r="N7" i="9"/>
  <c r="L7" i="9"/>
  <c r="N6" i="9"/>
  <c r="L6" i="9"/>
  <c r="N4" i="9"/>
  <c r="L4" i="9"/>
  <c r="N43" i="9"/>
  <c r="N42" i="9"/>
  <c r="N41" i="9"/>
  <c r="L43" i="9"/>
  <c r="L42" i="9"/>
  <c r="L41" i="9"/>
  <c r="AA31" i="9"/>
  <c r="AA30" i="9"/>
  <c r="AA29" i="9"/>
  <c r="AA28" i="9"/>
  <c r="AA38" i="9"/>
  <c r="AA37" i="9"/>
  <c r="AA36" i="9"/>
  <c r="AA35" i="9"/>
  <c r="AA34" i="9"/>
  <c r="N5" i="9"/>
  <c r="L5" i="9"/>
  <c r="N31" i="9"/>
  <c r="N30" i="9"/>
  <c r="N29" i="9"/>
  <c r="L29" i="9"/>
  <c r="N28" i="9"/>
  <c r="L31" i="9"/>
  <c r="L30" i="9"/>
  <c r="L28" i="9"/>
  <c r="S29" i="9"/>
  <c r="Y31" i="9"/>
  <c r="Y30" i="9"/>
  <c r="Y29" i="9"/>
  <c r="Y28" i="9"/>
  <c r="S31" i="9"/>
  <c r="S30" i="9"/>
  <c r="S28" i="9"/>
  <c r="P29" i="9"/>
  <c r="P28" i="9"/>
  <c r="P30" i="9" s="1"/>
  <c r="P31" i="9" s="1"/>
  <c r="Y38" i="9"/>
  <c r="Y37" i="9"/>
  <c r="Y36" i="9"/>
  <c r="Y35" i="9"/>
  <c r="L34" i="9"/>
  <c r="Y34" i="9"/>
  <c r="AA41" i="9"/>
  <c r="AA42" i="9" s="1"/>
  <c r="AA43" i="9" s="1"/>
  <c r="L45" i="9"/>
  <c r="N45" i="9"/>
  <c r="L35" i="9"/>
  <c r="L36" i="9" s="1"/>
  <c r="L37" i="9" s="1"/>
  <c r="L38" i="9" s="1"/>
  <c r="N36" i="9"/>
  <c r="N37" i="9" s="1"/>
  <c r="N38" i="9" s="1"/>
  <c r="N52" i="9" s="1"/>
  <c r="F41" i="9"/>
  <c r="F42" i="9" s="1"/>
  <c r="F43" i="9" s="1"/>
  <c r="Y41" i="9"/>
  <c r="Y42" i="9" s="1"/>
  <c r="Y43" i="9" s="1"/>
  <c r="W41" i="9"/>
  <c r="W42" i="9" s="1"/>
  <c r="W43" i="9" s="1"/>
  <c r="K6" i="6"/>
  <c r="I6" i="6"/>
  <c r="G6" i="6"/>
  <c r="L4" i="6"/>
  <c r="P13" i="9"/>
  <c r="P14" i="9" s="1"/>
  <c r="P15" i="9" s="1"/>
  <c r="P10" i="9"/>
  <c r="P11" i="9" s="1"/>
  <c r="P12" i="9" s="1"/>
  <c r="W45" i="9"/>
  <c r="AA45" i="9"/>
  <c r="Y45" i="9"/>
  <c r="O45" i="9"/>
  <c r="M45" i="9"/>
  <c r="M4" i="9"/>
  <c r="O4" i="9"/>
  <c r="S16" i="9"/>
  <c r="S17" i="9"/>
  <c r="G17" i="9"/>
  <c r="S4" i="9"/>
  <c r="S13" i="9"/>
  <c r="S14" i="9" s="1"/>
  <c r="S15" i="9" s="1"/>
  <c r="S9" i="9"/>
  <c r="S10" i="9" s="1"/>
  <c r="S11" i="9" s="1"/>
  <c r="S12" i="9" s="1"/>
  <c r="S8" i="9"/>
  <c r="S6" i="9"/>
  <c r="S7" i="9"/>
  <c r="S5" i="9"/>
  <c r="AA48" i="9"/>
  <c r="AA49" i="9" s="1"/>
  <c r="Y48" i="9"/>
  <c r="Y49" i="9" s="1"/>
  <c r="F48" i="9"/>
  <c r="F49" i="9" s="1"/>
  <c r="AF46" i="6"/>
  <c r="W26" i="8"/>
  <c r="W27" i="8" s="1"/>
  <c r="W28" i="8" s="1"/>
  <c r="W29" i="8" s="1"/>
  <c r="W15" i="8"/>
  <c r="W16" i="8" s="1"/>
  <c r="W17" i="8" s="1"/>
  <c r="W18" i="8" s="1"/>
  <c r="W19" i="8" s="1"/>
  <c r="W20" i="8" s="1"/>
  <c r="W21" i="8" s="1"/>
  <c r="W22" i="8" s="1"/>
  <c r="W23" i="8" s="1"/>
  <c r="W4" i="8"/>
  <c r="W5" i="8" s="1"/>
  <c r="W6" i="8" s="1"/>
  <c r="W7" i="8" s="1"/>
  <c r="W8" i="8" s="1"/>
  <c r="W9" i="8" s="1"/>
  <c r="W10" i="8" s="1"/>
  <c r="W11" i="8" s="1"/>
  <c r="W12" i="8" s="1"/>
  <c r="Y26" i="8"/>
  <c r="Y27" i="8" s="1"/>
  <c r="Y28" i="8" s="1"/>
  <c r="Y29" i="8" s="1"/>
  <c r="Y4" i="8"/>
  <c r="Y5" i="8" s="1"/>
  <c r="Y6" i="8" s="1"/>
  <c r="Y7" i="8" s="1"/>
  <c r="Y8" i="8" s="1"/>
  <c r="Y9" i="8" s="1"/>
  <c r="Y10" i="8" s="1"/>
  <c r="Y11" i="8" s="1"/>
  <c r="Y12" i="8" s="1"/>
  <c r="Y15" i="8"/>
  <c r="Y16" i="8" s="1"/>
  <c r="Y17" i="8" s="1"/>
  <c r="Y18" i="8" s="1"/>
  <c r="Y19" i="8" s="1"/>
  <c r="Y20" i="8" s="1"/>
  <c r="Y21" i="8" s="1"/>
  <c r="Y22" i="8" s="1"/>
  <c r="Y23" i="8" s="1"/>
  <c r="R26" i="8"/>
  <c r="R27" i="8" s="1"/>
  <c r="R28" i="8" s="1"/>
  <c r="R29" i="8" s="1"/>
  <c r="R15" i="8"/>
  <c r="R16" i="8" s="1"/>
  <c r="R17" i="8" s="1"/>
  <c r="R18" i="8" s="1"/>
  <c r="R19" i="8" s="1"/>
  <c r="R20" i="8" s="1"/>
  <c r="R21" i="8" s="1"/>
  <c r="R22" i="8" s="1"/>
  <c r="R23" i="8" s="1"/>
  <c r="R4" i="8"/>
  <c r="R5" i="8" s="1"/>
  <c r="R6" i="8" s="1"/>
  <c r="R7" i="8" s="1"/>
  <c r="R8" i="8" s="1"/>
  <c r="R9" i="8" s="1"/>
  <c r="R10" i="8" s="1"/>
  <c r="R11" i="8" s="1"/>
  <c r="R12" i="8" s="1"/>
  <c r="P26" i="8"/>
  <c r="P27" i="8" s="1"/>
  <c r="P28" i="8" s="1"/>
  <c r="P29" i="8" s="1"/>
  <c r="P15" i="8"/>
  <c r="P16" i="8" s="1"/>
  <c r="P17" i="8" s="1"/>
  <c r="P18" i="8" s="1"/>
  <c r="P19" i="8" s="1"/>
  <c r="P20" i="8" s="1"/>
  <c r="P21" i="8" s="1"/>
  <c r="P22" i="8" s="1"/>
  <c r="P23" i="8" s="1"/>
  <c r="P4" i="8"/>
  <c r="P5" i="8" s="1"/>
  <c r="P6" i="8" s="1"/>
  <c r="P7" i="8" s="1"/>
  <c r="P8" i="8" s="1"/>
  <c r="P9" i="8" s="1"/>
  <c r="P10" i="8" s="1"/>
  <c r="P11" i="8" s="1"/>
  <c r="P12" i="8" s="1"/>
  <c r="N26" i="8"/>
  <c r="N27" i="8" s="1"/>
  <c r="N28" i="8" s="1"/>
  <c r="N29" i="8" s="1"/>
  <c r="N15" i="8"/>
  <c r="N16" i="8" s="1"/>
  <c r="N17" i="8" s="1"/>
  <c r="N18" i="8" s="1"/>
  <c r="N19" i="8" s="1"/>
  <c r="N20" i="8" s="1"/>
  <c r="N21" i="8" s="1"/>
  <c r="N22" i="8" s="1"/>
  <c r="N23" i="8" s="1"/>
  <c r="N4" i="8"/>
  <c r="N5" i="8" s="1"/>
  <c r="N6" i="8" s="1"/>
  <c r="N7" i="8" s="1"/>
  <c r="N8" i="8" s="1"/>
  <c r="N9" i="8" s="1"/>
  <c r="N10" i="8" s="1"/>
  <c r="N11" i="8" s="1"/>
  <c r="N12" i="8" s="1"/>
  <c r="L26" i="8"/>
  <c r="L27" i="8" s="1"/>
  <c r="L28" i="8" s="1"/>
  <c r="L29" i="8" s="1"/>
  <c r="L15" i="8"/>
  <c r="L16" i="8" s="1"/>
  <c r="L17" i="8" s="1"/>
  <c r="L18" i="8" s="1"/>
  <c r="L19" i="8" s="1"/>
  <c r="L20" i="8" s="1"/>
  <c r="L21" i="8" s="1"/>
  <c r="L22" i="8" s="1"/>
  <c r="L23" i="8" s="1"/>
  <c r="L6" i="8"/>
  <c r="L9" i="8" s="1"/>
  <c r="L12" i="8" s="1"/>
  <c r="L5" i="8"/>
  <c r="L8" i="8" s="1"/>
  <c r="L11" i="8" s="1"/>
  <c r="L4" i="8"/>
  <c r="L7" i="8" s="1"/>
  <c r="L10" i="8" s="1"/>
  <c r="G4" i="8"/>
  <c r="G5" i="8" s="1"/>
  <c r="G6" i="8" s="1"/>
  <c r="G7" i="8" s="1"/>
  <c r="G8" i="8" s="1"/>
  <c r="G9" i="8" s="1"/>
  <c r="G10" i="8" s="1"/>
  <c r="G11" i="8" s="1"/>
  <c r="G12" i="8" s="1"/>
  <c r="G15" i="8"/>
  <c r="G16" i="8" s="1"/>
  <c r="G17" i="8" s="1"/>
  <c r="G18" i="8" s="1"/>
  <c r="G19" i="8" s="1"/>
  <c r="G20" i="8" s="1"/>
  <c r="G21" i="8" s="1"/>
  <c r="G22" i="8" s="1"/>
  <c r="G23" i="8" s="1"/>
  <c r="G26" i="8"/>
  <c r="G27" i="8" s="1"/>
  <c r="G28" i="8" s="1"/>
  <c r="G29" i="8" s="1"/>
  <c r="F26" i="8"/>
  <c r="F27" i="8" s="1"/>
  <c r="F28" i="8" s="1"/>
  <c r="F29" i="8" s="1"/>
  <c r="F15" i="8"/>
  <c r="F16" i="8" s="1"/>
  <c r="F17" i="8" s="1"/>
  <c r="F18" i="8" s="1"/>
  <c r="F19" i="8" s="1"/>
  <c r="F20" i="8" s="1"/>
  <c r="F21" i="8" s="1"/>
  <c r="F22" i="8" s="1"/>
  <c r="F23" i="8" s="1"/>
  <c r="F4" i="8"/>
  <c r="F5" i="8" s="1"/>
  <c r="F6" i="8" s="1"/>
  <c r="F7" i="8" s="1"/>
  <c r="F8" i="8" s="1"/>
  <c r="F9" i="8" s="1"/>
  <c r="F10" i="8" s="1"/>
  <c r="F11" i="8" s="1"/>
  <c r="F12" i="8" s="1"/>
  <c r="H15" i="3"/>
  <c r="I26" i="6"/>
  <c r="G34" i="6"/>
  <c r="G35" i="6" s="1"/>
  <c r="G36" i="6" s="1"/>
  <c r="G37" i="6" s="1"/>
  <c r="G33" i="6"/>
  <c r="G32" i="6"/>
  <c r="G31" i="6"/>
  <c r="Z45" i="6"/>
  <c r="X45" i="6"/>
  <c r="W45" i="6"/>
  <c r="W25" i="6"/>
  <c r="W26" i="6"/>
  <c r="W28" i="6"/>
  <c r="W27" i="6"/>
  <c r="U45" i="6"/>
  <c r="O45" i="6"/>
  <c r="N45" i="6"/>
  <c r="M45" i="6"/>
  <c r="L45" i="6"/>
  <c r="K45" i="6"/>
  <c r="I45" i="6"/>
  <c r="Z32" i="6"/>
  <c r="Z33" i="6"/>
  <c r="Z34" i="6"/>
  <c r="W6" i="6"/>
  <c r="W12" i="6"/>
  <c r="W13" i="6" s="1"/>
  <c r="W46" i="6" s="1"/>
  <c r="W8" i="6"/>
  <c r="W9" i="6" s="1"/>
  <c r="W10" i="6" s="1"/>
  <c r="X32" i="6"/>
  <c r="X33" i="6"/>
  <c r="X34" i="6" s="1"/>
  <c r="X35" i="6" s="1"/>
  <c r="X36" i="6" s="1"/>
  <c r="X37" i="6" s="1"/>
  <c r="AB31" i="6"/>
  <c r="AB32" i="6" s="1"/>
  <c r="AB33" i="6" s="1"/>
  <c r="AB34" i="6" s="1"/>
  <c r="AB35" i="6" s="1"/>
  <c r="AB36" i="6" s="1"/>
  <c r="AB37" i="6" s="1"/>
  <c r="Z35" i="6"/>
  <c r="Z36" i="6" s="1"/>
  <c r="Z37" i="6" s="1"/>
  <c r="S33" i="6"/>
  <c r="Z31" i="6"/>
  <c r="K31" i="6"/>
  <c r="O31" i="6"/>
  <c r="O33" i="6" s="1"/>
  <c r="O34" i="6" s="1"/>
  <c r="O35" i="6" s="1"/>
  <c r="O36" i="6" s="1"/>
  <c r="O37" i="6" s="1"/>
  <c r="K32" i="6"/>
  <c r="I32" i="6"/>
  <c r="K33" i="6"/>
  <c r="K34" i="6" s="1"/>
  <c r="K35" i="6" s="1"/>
  <c r="K36" i="6" s="1"/>
  <c r="K37" i="6" s="1"/>
  <c r="M32" i="6"/>
  <c r="M33" i="6" s="1"/>
  <c r="M34" i="6" s="1"/>
  <c r="M35" i="6" s="1"/>
  <c r="M36" i="6" s="1"/>
  <c r="M37" i="6" s="1"/>
  <c r="I31" i="6"/>
  <c r="I33" i="6" s="1"/>
  <c r="I34" i="6" s="1"/>
  <c r="I35" i="6" s="1"/>
  <c r="I36" i="6" s="1"/>
  <c r="I37" i="6" s="1"/>
  <c r="AB40" i="6"/>
  <c r="AB41" i="6" s="1"/>
  <c r="U25" i="6"/>
  <c r="U26" i="6" s="1"/>
  <c r="U27" i="6" s="1"/>
  <c r="U28" i="6" s="1"/>
  <c r="U46" i="6" s="1"/>
  <c r="P12" i="6"/>
  <c r="P13" i="6" s="1"/>
  <c r="P8" i="6"/>
  <c r="P9" i="6" s="1"/>
  <c r="P10" i="6" s="1"/>
  <c r="P6" i="6"/>
  <c r="X6" i="6"/>
  <c r="X12" i="6"/>
  <c r="X13" i="6" s="1"/>
  <c r="X8" i="6"/>
  <c r="X9" i="6" s="1"/>
  <c r="X10" i="6" s="1"/>
  <c r="X4" i="6"/>
  <c r="AB12" i="6"/>
  <c r="AB13" i="6" s="1"/>
  <c r="AB8" i="6"/>
  <c r="AB9" i="6" s="1"/>
  <c r="AB10" i="6" s="1"/>
  <c r="AB6" i="6"/>
  <c r="S6" i="6"/>
  <c r="W4" i="6"/>
  <c r="Z12" i="6"/>
  <c r="Z13" i="6" s="1"/>
  <c r="Z8" i="6"/>
  <c r="Z9" i="6" s="1"/>
  <c r="Z10" i="6" s="1"/>
  <c r="Z6" i="6"/>
  <c r="N6" i="6"/>
  <c r="L6" i="6"/>
  <c r="K12" i="6"/>
  <c r="K13" i="6" s="1"/>
  <c r="I12" i="6"/>
  <c r="I13" i="6" s="1"/>
  <c r="K9" i="6"/>
  <c r="K10" i="6" s="1"/>
  <c r="I9" i="6"/>
  <c r="I10" i="6" s="1"/>
  <c r="K8" i="6"/>
  <c r="I8" i="6"/>
  <c r="N12" i="6"/>
  <c r="N13" i="6" s="1"/>
  <c r="L12" i="6"/>
  <c r="L13" i="6" s="1"/>
  <c r="S12" i="6"/>
  <c r="S13" i="6" s="1"/>
  <c r="S8" i="6"/>
  <c r="S9" i="6" s="1"/>
  <c r="S10" i="6" s="1"/>
  <c r="L8" i="6"/>
  <c r="L9" i="6" s="1"/>
  <c r="L10" i="6" s="1"/>
  <c r="N8" i="6"/>
  <c r="N9" i="6" s="1"/>
  <c r="N10" i="6" s="1"/>
  <c r="G12" i="6"/>
  <c r="G13" i="6" s="1"/>
  <c r="G8" i="6"/>
  <c r="G9" i="6" s="1"/>
  <c r="G10" i="6" s="1"/>
  <c r="G13" i="3"/>
  <c r="G14" i="3"/>
  <c r="G15" i="3"/>
  <c r="K25" i="6"/>
  <c r="K26" i="6"/>
  <c r="Z40" i="6"/>
  <c r="Z41" i="6" s="1"/>
  <c r="Z20" i="6"/>
  <c r="Z19" i="6"/>
  <c r="Z18" i="6"/>
  <c r="Z17" i="6"/>
  <c r="Z16" i="6"/>
  <c r="Z28" i="6"/>
  <c r="Z27" i="6"/>
  <c r="Z26" i="6"/>
  <c r="Z25" i="6"/>
  <c r="Z24" i="6"/>
  <c r="Z23" i="6"/>
  <c r="O41" i="6"/>
  <c r="N41" i="6"/>
  <c r="M41" i="6"/>
  <c r="O40" i="6"/>
  <c r="N40" i="6"/>
  <c r="M40" i="6"/>
  <c r="L41" i="6"/>
  <c r="L40" i="6"/>
  <c r="AB16" i="6"/>
  <c r="AB17" i="6" s="1"/>
  <c r="AB18" i="6" s="1"/>
  <c r="AB19" i="6" s="1"/>
  <c r="AB20" i="6" s="1"/>
  <c r="G17" i="6"/>
  <c r="G20" i="6"/>
  <c r="G19" i="6"/>
  <c r="G18" i="6"/>
  <c r="G16" i="6"/>
  <c r="N20" i="6"/>
  <c r="N19" i="6"/>
  <c r="N18" i="6"/>
  <c r="N17" i="6"/>
  <c r="N16" i="6"/>
  <c r="W24" i="6"/>
  <c r="W23" i="6"/>
  <c r="O28" i="6"/>
  <c r="M28" i="6"/>
  <c r="M46" i="6" s="1"/>
  <c r="K28" i="6"/>
  <c r="O27" i="6"/>
  <c r="M27" i="6"/>
  <c r="K27" i="6"/>
  <c r="O26" i="6"/>
  <c r="M26" i="6"/>
  <c r="O25" i="6"/>
  <c r="M25" i="6"/>
  <c r="O24" i="6"/>
  <c r="M24" i="6"/>
  <c r="K24" i="6"/>
  <c r="O23" i="6"/>
  <c r="M23" i="6"/>
  <c r="K23" i="6"/>
  <c r="I28" i="6"/>
  <c r="I27" i="6"/>
  <c r="I25" i="6"/>
  <c r="I24" i="6"/>
  <c r="I23" i="6"/>
  <c r="G23" i="6"/>
  <c r="G24" i="6" s="1"/>
  <c r="G25" i="6" s="1"/>
  <c r="G26" i="6" s="1"/>
  <c r="G27" i="6" s="1"/>
  <c r="G28" i="6" s="1"/>
  <c r="AB4" i="6"/>
  <c r="N4" i="6"/>
  <c r="G4" i="6"/>
  <c r="I4" i="6"/>
  <c r="K4" i="6"/>
  <c r="Z4" i="6"/>
  <c r="X41" i="6"/>
  <c r="X40" i="6"/>
  <c r="AB23" i="6"/>
  <c r="AB24" i="6" s="1"/>
  <c r="AB25" i="6" s="1"/>
  <c r="AB26" i="6" s="1"/>
  <c r="AB27" i="6" s="1"/>
  <c r="AB28" i="6" s="1"/>
  <c r="X16" i="6"/>
  <c r="X17" i="6" s="1"/>
  <c r="X18" i="6" s="1"/>
  <c r="X19" i="6" s="1"/>
  <c r="X20" i="6" s="1"/>
  <c r="X23" i="6"/>
  <c r="X24" i="6" s="1"/>
  <c r="X25" i="6" s="1"/>
  <c r="X26" i="6" s="1"/>
  <c r="X27" i="6" s="1"/>
  <c r="X28" i="6" s="1"/>
  <c r="T41" i="6"/>
  <c r="T40" i="6"/>
  <c r="L16" i="6"/>
  <c r="L20" i="6"/>
  <c r="L19" i="6"/>
  <c r="L18" i="6"/>
  <c r="L17" i="6"/>
  <c r="H31" i="3"/>
  <c r="H29" i="3"/>
  <c r="H30" i="3"/>
  <c r="H33" i="3"/>
  <c r="H17" i="3"/>
  <c r="I17" i="3"/>
  <c r="I18" i="3" s="1"/>
  <c r="I19" i="3" s="1"/>
  <c r="I20" i="3" s="1"/>
  <c r="I21" i="3" s="1"/>
  <c r="I22" i="3" s="1"/>
  <c r="E27" i="1"/>
  <c r="E25" i="1"/>
  <c r="E26" i="1"/>
  <c r="E24" i="1"/>
  <c r="E3" i="1"/>
  <c r="E4" i="1"/>
  <c r="E5" i="1"/>
  <c r="E6" i="1"/>
  <c r="E7" i="1"/>
  <c r="E8" i="1"/>
  <c r="E9" i="1"/>
  <c r="E10" i="1"/>
  <c r="E11" i="1"/>
  <c r="AH43" i="16" l="1"/>
  <c r="AH44" i="16" s="1"/>
  <c r="AH45" i="16" s="1"/>
  <c r="AH40" i="16"/>
  <c r="AH41" i="16" s="1"/>
  <c r="AH42" i="16" s="1"/>
  <c r="AJ43" i="16"/>
  <c r="AJ40" i="16"/>
  <c r="O43" i="16"/>
  <c r="O44" i="16" s="1"/>
  <c r="O45" i="16" s="1"/>
  <c r="O39" i="16"/>
  <c r="O40" i="16" s="1"/>
  <c r="O41" i="16" s="1"/>
  <c r="O42" i="16" s="1"/>
  <c r="Q43" i="16"/>
  <c r="Q44" i="16" s="1"/>
  <c r="Q45" i="16" s="1"/>
  <c r="Q39" i="16"/>
  <c r="Q40" i="16" s="1"/>
  <c r="Q41" i="16" s="1"/>
  <c r="Q42" i="16" s="1"/>
  <c r="W43" i="16"/>
  <c r="W44" i="16" s="1"/>
  <c r="W45" i="16" s="1"/>
  <c r="W40" i="16"/>
  <c r="W41" i="16" s="1"/>
  <c r="W42" i="16" s="1"/>
  <c r="O60" i="16"/>
  <c r="O61" i="16" s="1"/>
  <c r="O59" i="16"/>
  <c r="Q60" i="16"/>
  <c r="Q61" i="16" s="1"/>
  <c r="Q59" i="16"/>
  <c r="T60" i="16"/>
  <c r="T61" i="16" s="1"/>
  <c r="T59" i="16"/>
  <c r="AH60" i="16"/>
  <c r="AH61" i="16" s="1"/>
  <c r="AH59" i="16"/>
  <c r="AH232" i="16"/>
  <c r="AH233" i="16" s="1"/>
  <c r="AH234" i="16" s="1"/>
  <c r="AH235" i="16" s="1"/>
  <c r="AH236" i="16" s="1"/>
  <c r="AH237" i="16" s="1"/>
  <c r="AH226" i="16"/>
  <c r="AH227" i="16" s="1"/>
  <c r="AH228" i="16" s="1"/>
  <c r="AH229" i="16" s="1"/>
  <c r="AH230" i="16" s="1"/>
  <c r="AH231" i="16" s="1"/>
  <c r="K270" i="16"/>
  <c r="K266" i="16"/>
  <c r="AH270" i="16"/>
  <c r="AH266" i="16"/>
  <c r="AH283" i="16"/>
  <c r="AH284" i="16" s="1"/>
  <c r="AH285" i="16" s="1"/>
  <c r="AH280" i="16"/>
  <c r="AH281" i="16" s="1"/>
  <c r="K287" i="16"/>
  <c r="K288" i="16" s="1"/>
  <c r="K289" i="16" s="1"/>
  <c r="K283" i="16"/>
  <c r="K280" i="16"/>
  <c r="M287" i="16"/>
  <c r="M288" i="16" s="1"/>
  <c r="M289" i="16" s="1"/>
  <c r="M280" i="16"/>
  <c r="M281" i="16" s="1"/>
  <c r="O227" i="15"/>
  <c r="O228" i="15" s="1"/>
  <c r="O230" i="15"/>
  <c r="O252" i="15"/>
  <c r="O250" i="15"/>
  <c r="H227" i="15"/>
  <c r="H228" i="15" s="1"/>
  <c r="I227" i="15"/>
  <c r="I228" i="15" s="1"/>
  <c r="L69" i="15"/>
  <c r="L70" i="15" s="1"/>
  <c r="L71" i="15" s="1"/>
  <c r="L72" i="15" s="1"/>
  <c r="L73" i="15" s="1"/>
  <c r="L74" i="15" s="1"/>
  <c r="L63" i="15"/>
  <c r="L64" i="15" s="1"/>
  <c r="L65" i="15" s="1"/>
  <c r="L66" i="15" s="1"/>
  <c r="L67" i="15" s="1"/>
  <c r="L68" i="15" s="1"/>
  <c r="J99" i="15"/>
  <c r="J151" i="15"/>
  <c r="J113" i="15"/>
  <c r="J165" i="15"/>
  <c r="J132" i="15"/>
  <c r="J184" i="15"/>
  <c r="G99" i="15"/>
  <c r="G151" i="15"/>
  <c r="G114" i="15"/>
  <c r="G166" i="15"/>
  <c r="H114" i="15"/>
  <c r="H166" i="15"/>
  <c r="H122" i="15"/>
  <c r="H175" i="15" s="1"/>
  <c r="H174" i="15"/>
  <c r="H138" i="15"/>
  <c r="H193" i="15"/>
  <c r="G132" i="15"/>
  <c r="G184" i="15"/>
  <c r="H132" i="15"/>
  <c r="H184" i="15"/>
  <c r="AZ162" i="10"/>
  <c r="AZ163" i="10" s="1"/>
  <c r="AZ164" i="10" s="1"/>
  <c r="AZ165" i="10" s="1"/>
  <c r="AZ166" i="10" s="1"/>
  <c r="AZ270" i="10"/>
  <c r="AZ266" i="10"/>
  <c r="AZ283" i="10"/>
  <c r="AZ284" i="10" s="1"/>
  <c r="AZ285" i="10" s="1"/>
  <c r="AZ280" i="10"/>
  <c r="AZ281" i="10" s="1"/>
  <c r="AZ43" i="14"/>
  <c r="AZ44" i="14" s="1"/>
  <c r="AZ45" i="14" s="1"/>
  <c r="AZ40" i="14"/>
  <c r="AZ41" i="14" s="1"/>
  <c r="AZ42" i="14" s="1"/>
  <c r="BB43" i="14"/>
  <c r="BB40" i="14"/>
  <c r="AG43" i="14"/>
  <c r="AG44" i="14" s="1"/>
  <c r="AG45" i="14" s="1"/>
  <c r="AG39" i="14"/>
  <c r="AG40" i="14" s="1"/>
  <c r="AG41" i="14" s="1"/>
  <c r="AG42" i="14" s="1"/>
  <c r="AI43" i="14"/>
  <c r="AI44" i="14" s="1"/>
  <c r="AI45" i="14" s="1"/>
  <c r="AI39" i="14"/>
  <c r="AI40" i="14" s="1"/>
  <c r="AI41" i="14" s="1"/>
  <c r="AI42" i="14" s="1"/>
  <c r="AO43" i="14"/>
  <c r="AO44" i="14" s="1"/>
  <c r="AO45" i="14" s="1"/>
  <c r="AO40" i="14"/>
  <c r="AO41" i="14" s="1"/>
  <c r="AO42" i="14" s="1"/>
  <c r="AG60" i="14"/>
  <c r="AG61" i="14" s="1"/>
  <c r="AG59" i="14"/>
  <c r="AI60" i="14"/>
  <c r="AI61" i="14" s="1"/>
  <c r="AI59" i="14"/>
  <c r="AL60" i="14"/>
  <c r="AL61" i="14" s="1"/>
  <c r="AL59" i="14"/>
  <c r="AZ60" i="14"/>
  <c r="AZ61" i="14" s="1"/>
  <c r="AZ59" i="14"/>
  <c r="AZ232" i="14"/>
  <c r="AZ233" i="14" s="1"/>
  <c r="AZ234" i="14" s="1"/>
  <c r="AZ235" i="14" s="1"/>
  <c r="AZ236" i="14" s="1"/>
  <c r="AZ237" i="14" s="1"/>
  <c r="AZ226" i="14"/>
  <c r="AZ227" i="14" s="1"/>
  <c r="AZ228" i="14" s="1"/>
  <c r="AZ229" i="14" s="1"/>
  <c r="AZ230" i="14" s="1"/>
  <c r="AZ231" i="14" s="1"/>
  <c r="AC270" i="14"/>
  <c r="AC266" i="14"/>
  <c r="AC287" i="14"/>
  <c r="AC288" i="14" s="1"/>
  <c r="AC289" i="14" s="1"/>
  <c r="AC283" i="14"/>
  <c r="AC280" i="14"/>
  <c r="AE287" i="14"/>
  <c r="AE288" i="14" s="1"/>
  <c r="AE289" i="14" s="1"/>
  <c r="AE280" i="14"/>
  <c r="AE281" i="14" s="1"/>
  <c r="AC280" i="10"/>
  <c r="AC287" i="10"/>
  <c r="AC288" i="10" s="1"/>
  <c r="AC289" i="10" s="1"/>
  <c r="AC283" i="10"/>
  <c r="AE287" i="10"/>
  <c r="AE288" i="10" s="1"/>
  <c r="AE289" i="10" s="1"/>
  <c r="AE280" i="10"/>
  <c r="AE281" i="10" s="1"/>
  <c r="AC266" i="10"/>
  <c r="AH214" i="11"/>
  <c r="AG214" i="11"/>
  <c r="AF214" i="11"/>
  <c r="AE214" i="11"/>
  <c r="AD214" i="11"/>
  <c r="AC214" i="11"/>
  <c r="AZ7" i="10"/>
  <c r="AZ8" i="10" s="1"/>
  <c r="AZ9" i="10" s="1"/>
  <c r="AZ10" i="10" s="1"/>
  <c r="AZ11" i="10" s="1"/>
  <c r="AZ12" i="10" s="1"/>
  <c r="AZ232" i="10"/>
  <c r="AZ233" i="10" s="1"/>
  <c r="AZ234" i="10" s="1"/>
  <c r="AZ235" i="10" s="1"/>
  <c r="AZ236" i="10" s="1"/>
  <c r="AZ237" i="10" s="1"/>
  <c r="AZ227" i="10"/>
  <c r="AZ228" i="10" s="1"/>
  <c r="AZ229" i="10" s="1"/>
  <c r="AZ230" i="10" s="1"/>
  <c r="AZ231" i="10" s="1"/>
  <c r="AZ60" i="10"/>
  <c r="AZ61" i="10" s="1"/>
  <c r="AZ59" i="10"/>
  <c r="AI154" i="11"/>
  <c r="AH153" i="11"/>
  <c r="AG153" i="11"/>
  <c r="AF153" i="11"/>
  <c r="AE153" i="11"/>
  <c r="AD153" i="11"/>
  <c r="AC153" i="11"/>
  <c r="AB153" i="11"/>
  <c r="AA153" i="11"/>
  <c r="Z153" i="11"/>
  <c r="Y153" i="11"/>
  <c r="AI141" i="11"/>
  <c r="AH140" i="11"/>
  <c r="AG140" i="11"/>
  <c r="AF140" i="11"/>
  <c r="AE140" i="11"/>
  <c r="AD140" i="11"/>
  <c r="AC140" i="11"/>
  <c r="AB140" i="11"/>
  <c r="AA140" i="11"/>
  <c r="Z140" i="11"/>
  <c r="Y140" i="11"/>
  <c r="AK115" i="11"/>
  <c r="AJ115" i="11"/>
  <c r="AI115" i="11"/>
  <c r="AH115" i="11"/>
  <c r="AG115" i="11"/>
  <c r="AF115" i="11"/>
  <c r="AE115" i="11"/>
  <c r="AD115" i="11"/>
  <c r="AC115" i="11"/>
  <c r="AC95" i="11"/>
  <c r="AB96" i="11"/>
  <c r="AO95" i="11"/>
  <c r="AR94" i="11"/>
  <c r="AQ94" i="11"/>
  <c r="AP94" i="11"/>
  <c r="AN94" i="11"/>
  <c r="AO108" i="11"/>
  <c r="AR107" i="11"/>
  <c r="AQ107" i="11"/>
  <c r="AP107" i="11"/>
  <c r="AN107" i="11"/>
  <c r="U73" i="11"/>
  <c r="S73" i="11"/>
  <c r="R73" i="11"/>
  <c r="Q73" i="11"/>
  <c r="AC73" i="11"/>
  <c r="AB73" i="11"/>
  <c r="AA73" i="11"/>
  <c r="Z73" i="11"/>
  <c r="Y73" i="11"/>
  <c r="X73" i="11"/>
  <c r="W73" i="11"/>
  <c r="V73" i="11"/>
  <c r="S74" i="11"/>
  <c r="R74" i="11"/>
  <c r="Q74" i="11"/>
  <c r="AC74" i="11"/>
  <c r="AB74" i="11"/>
  <c r="AA74" i="11"/>
  <c r="Z74" i="11"/>
  <c r="Y74" i="11"/>
  <c r="X74" i="11"/>
  <c r="W74" i="11"/>
  <c r="V74" i="11"/>
  <c r="U74" i="11"/>
  <c r="S75" i="11"/>
  <c r="R75" i="11"/>
  <c r="Q75" i="11"/>
  <c r="AC75" i="11"/>
  <c r="AB75" i="11"/>
  <c r="AA75" i="11"/>
  <c r="Z75" i="11"/>
  <c r="Y75" i="11"/>
  <c r="X75" i="11"/>
  <c r="W75" i="11"/>
  <c r="V75" i="11"/>
  <c r="U75" i="11"/>
  <c r="AF73" i="11"/>
  <c r="AJ73" i="11"/>
  <c r="AI73" i="11"/>
  <c r="AH73" i="11"/>
  <c r="AF74" i="11"/>
  <c r="AJ74" i="11"/>
  <c r="AI74" i="11"/>
  <c r="AH74" i="11"/>
  <c r="AF75" i="11"/>
  <c r="AJ75" i="11"/>
  <c r="AI75" i="11"/>
  <c r="AH75" i="11"/>
  <c r="AJ79" i="11"/>
  <c r="AI79" i="11"/>
  <c r="AH79" i="11"/>
  <c r="AF79" i="11"/>
  <c r="AJ80" i="11"/>
  <c r="AI80" i="11"/>
  <c r="AH80" i="11"/>
  <c r="AF80" i="11"/>
  <c r="AJ81" i="11"/>
  <c r="AI81" i="11"/>
  <c r="AH81" i="11"/>
  <c r="AF81" i="11"/>
  <c r="BB117" i="10"/>
  <c r="BB118" i="10" s="1"/>
  <c r="BB119" i="10" s="1"/>
  <c r="BB120" i="10" s="1"/>
  <c r="AD132" i="10"/>
  <c r="AD133" i="10" s="1"/>
  <c r="AD134" i="10" s="1"/>
  <c r="AA139" i="10"/>
  <c r="AA140" i="10" s="1"/>
  <c r="AV140" i="10"/>
  <c r="AV141" i="10" s="1"/>
  <c r="AV142" i="10" s="1"/>
  <c r="AA141" i="10"/>
  <c r="AA142" i="10" s="1"/>
  <c r="H18" i="3"/>
  <c r="H19" i="3" s="1"/>
  <c r="H20" i="3" s="1"/>
  <c r="H32" i="3"/>
  <c r="S47" i="11"/>
  <c r="R47" i="11"/>
  <c r="Q47" i="11"/>
  <c r="AC47" i="11"/>
  <c r="AB47" i="11"/>
  <c r="AA47" i="11"/>
  <c r="Z47" i="11"/>
  <c r="Y47" i="11"/>
  <c r="X47" i="11"/>
  <c r="W47" i="11"/>
  <c r="V47" i="11"/>
  <c r="U47" i="11"/>
  <c r="S48" i="11"/>
  <c r="R48" i="11"/>
  <c r="Q48" i="11"/>
  <c r="AC48" i="11"/>
  <c r="AB48" i="11"/>
  <c r="AA48" i="11"/>
  <c r="Y48" i="11"/>
  <c r="X48" i="11"/>
  <c r="W48" i="11"/>
  <c r="V48" i="11"/>
  <c r="U48" i="11"/>
  <c r="S49" i="11"/>
  <c r="R49" i="11"/>
  <c r="Q49" i="11"/>
  <c r="AC49" i="11"/>
  <c r="AB49" i="11"/>
  <c r="AA49" i="11"/>
  <c r="Z49" i="11"/>
  <c r="Y49" i="11"/>
  <c r="X49" i="11"/>
  <c r="W49" i="11"/>
  <c r="V49" i="11"/>
  <c r="U49" i="11"/>
  <c r="S50" i="11"/>
  <c r="R50" i="11"/>
  <c r="Q50" i="11"/>
  <c r="AC50" i="11"/>
  <c r="AB50" i="11"/>
  <c r="AA50" i="11"/>
  <c r="Z50" i="11"/>
  <c r="Y50" i="11"/>
  <c r="X50" i="11"/>
  <c r="W50" i="11"/>
  <c r="V50" i="11"/>
  <c r="U50" i="11"/>
  <c r="AF47" i="11"/>
  <c r="AJ47" i="11"/>
  <c r="AI47" i="11"/>
  <c r="AH47" i="11"/>
  <c r="AF48" i="11"/>
  <c r="AJ48" i="11"/>
  <c r="AI48" i="11"/>
  <c r="AH48" i="11"/>
  <c r="AF49" i="11"/>
  <c r="AJ49" i="11"/>
  <c r="AI49" i="11"/>
  <c r="AH49" i="11"/>
  <c r="AF50" i="11"/>
  <c r="AJ50" i="11"/>
  <c r="AI50" i="11"/>
  <c r="AH50" i="11"/>
  <c r="AC24" i="11"/>
  <c r="AB24" i="11"/>
  <c r="AA24" i="11"/>
  <c r="Z24" i="11"/>
  <c r="S24" i="11"/>
  <c r="Y24" i="11"/>
  <c r="X24" i="11"/>
  <c r="T25" i="11"/>
  <c r="W24" i="11"/>
  <c r="V24" i="11"/>
  <c r="U24" i="11"/>
  <c r="AL60" i="10"/>
  <c r="AL61" i="10" s="1"/>
  <c r="AG60" i="10"/>
  <c r="AG61" i="10" s="1"/>
  <c r="AG59" i="10"/>
  <c r="AI60" i="10"/>
  <c r="AI61" i="10" s="1"/>
  <c r="AI59" i="10"/>
  <c r="BB43" i="10"/>
  <c r="BB40" i="10"/>
  <c r="AZ43" i="10"/>
  <c r="AZ44" i="10" s="1"/>
  <c r="AZ45" i="10" s="1"/>
  <c r="AZ40" i="10"/>
  <c r="AZ41" i="10" s="1"/>
  <c r="AZ42" i="10" s="1"/>
  <c r="AO43" i="10"/>
  <c r="AO44" i="10" s="1"/>
  <c r="AO45" i="10" s="1"/>
  <c r="AO40" i="10"/>
  <c r="AO41" i="10" s="1"/>
  <c r="AO42" i="10" s="1"/>
  <c r="AI43" i="10"/>
  <c r="AI44" i="10" s="1"/>
  <c r="AI45" i="10" s="1"/>
  <c r="AI39" i="10"/>
  <c r="AI40" i="10" s="1"/>
  <c r="AI41" i="10" s="1"/>
  <c r="AI42" i="10" s="1"/>
  <c r="AG43" i="10"/>
  <c r="AG44" i="10" s="1"/>
  <c r="AG45" i="10" s="1"/>
  <c r="AG39" i="10"/>
  <c r="AG40" i="10" s="1"/>
  <c r="AG41" i="10" s="1"/>
  <c r="AG42" i="10" s="1"/>
  <c r="O46" i="6"/>
  <c r="L46" i="6"/>
  <c r="N46" i="6"/>
  <c r="I46" i="6"/>
  <c r="K46" i="6"/>
  <c r="Z46" i="6"/>
  <c r="X46" i="6"/>
  <c r="K284" i="16" l="1"/>
  <c r="K281" i="16"/>
  <c r="K285" i="16" s="1"/>
  <c r="AH271" i="16"/>
  <c r="AH267" i="16"/>
  <c r="K271" i="16"/>
  <c r="K267" i="16"/>
  <c r="AJ44" i="16"/>
  <c r="AJ41" i="16"/>
  <c r="O253" i="15"/>
  <c r="O255" i="15"/>
  <c r="O231" i="15"/>
  <c r="O232" i="15" s="1"/>
  <c r="O234" i="15"/>
  <c r="I231" i="15"/>
  <c r="I232" i="15" s="1"/>
  <c r="H231" i="15"/>
  <c r="H232" i="15" s="1"/>
  <c r="J133" i="15"/>
  <c r="J185" i="15"/>
  <c r="J114" i="15"/>
  <c r="J166" i="15"/>
  <c r="J100" i="15"/>
  <c r="J152" i="15"/>
  <c r="H133" i="15"/>
  <c r="H185" i="15"/>
  <c r="G133" i="15"/>
  <c r="G185" i="15"/>
  <c r="H139" i="15"/>
  <c r="H195" i="15" s="1"/>
  <c r="H194" i="15"/>
  <c r="H115" i="15"/>
  <c r="H167" i="15"/>
  <c r="G115" i="15"/>
  <c r="G167" i="15"/>
  <c r="G100" i="15"/>
  <c r="G152" i="15"/>
  <c r="AZ271" i="10"/>
  <c r="AZ267" i="10"/>
  <c r="AB97" i="11"/>
  <c r="AI97" i="11" s="1"/>
  <c r="AI96" i="11"/>
  <c r="AC284" i="14"/>
  <c r="AC281" i="14"/>
  <c r="AC285" i="14" s="1"/>
  <c r="AC271" i="14"/>
  <c r="AC267" i="14"/>
  <c r="BB44" i="14"/>
  <c r="BB41" i="14"/>
  <c r="AC267" i="10"/>
  <c r="AC271" i="10"/>
  <c r="AC281" i="10"/>
  <c r="AC285" i="10" s="1"/>
  <c r="AC284" i="10"/>
  <c r="AH215" i="11"/>
  <c r="AG215" i="11"/>
  <c r="AF215" i="11"/>
  <c r="AE215" i="11"/>
  <c r="AD215" i="11"/>
  <c r="AC215" i="11"/>
  <c r="AA215" i="11"/>
  <c r="Z215" i="11"/>
  <c r="Y215" i="11"/>
  <c r="AI155" i="11"/>
  <c r="AH154" i="11"/>
  <c r="AG154" i="11"/>
  <c r="AF154" i="11"/>
  <c r="AE154" i="11"/>
  <c r="AD154" i="11"/>
  <c r="AC154" i="11"/>
  <c r="AB154" i="11"/>
  <c r="AA154" i="11"/>
  <c r="Z154" i="11"/>
  <c r="Y154" i="11"/>
  <c r="AI142" i="11"/>
  <c r="AH141" i="11"/>
  <c r="AG141" i="11"/>
  <c r="AF141" i="11"/>
  <c r="AE141" i="11"/>
  <c r="AD141" i="11"/>
  <c r="AC141" i="11"/>
  <c r="AB141" i="11"/>
  <c r="AA141" i="11"/>
  <c r="Z141" i="11"/>
  <c r="Y141" i="11"/>
  <c r="AK116" i="11"/>
  <c r="AJ116" i="11"/>
  <c r="AI116" i="11"/>
  <c r="AH116" i="11"/>
  <c r="AG116" i="11"/>
  <c r="AF116" i="11"/>
  <c r="AE116" i="11"/>
  <c r="AD116" i="11"/>
  <c r="AC116" i="11"/>
  <c r="AA116" i="11"/>
  <c r="Z116" i="11"/>
  <c r="Y116" i="11"/>
  <c r="AO109" i="11"/>
  <c r="AR108" i="11"/>
  <c r="AQ108" i="11"/>
  <c r="AP108" i="11"/>
  <c r="AN108" i="11"/>
  <c r="AO96" i="11"/>
  <c r="AR95" i="11"/>
  <c r="AQ95" i="11"/>
  <c r="AP95" i="11"/>
  <c r="AN95" i="11"/>
  <c r="AK96" i="11"/>
  <c r="AJ96" i="11"/>
  <c r="AH96" i="11"/>
  <c r="AG96" i="11"/>
  <c r="AF96" i="11"/>
  <c r="AE96" i="11"/>
  <c r="AD96" i="11"/>
  <c r="AC96" i="11"/>
  <c r="AA96" i="11"/>
  <c r="Z96" i="11"/>
  <c r="Y96" i="11"/>
  <c r="H21" i="3"/>
  <c r="H22" i="3" s="1"/>
  <c r="AC25" i="11"/>
  <c r="AB25" i="11"/>
  <c r="AA25" i="11"/>
  <c r="Z25" i="11"/>
  <c r="Y25" i="11"/>
  <c r="X25" i="11"/>
  <c r="T26" i="11"/>
  <c r="W25" i="11"/>
  <c r="V25" i="11"/>
  <c r="U25" i="11"/>
  <c r="BB44" i="10"/>
  <c r="BB41" i="10"/>
  <c r="AJ45" i="16" l="1"/>
  <c r="AJ42" i="16"/>
  <c r="K272" i="16"/>
  <c r="K268" i="16"/>
  <c r="K273" i="16" s="1"/>
  <c r="AH272" i="16"/>
  <c r="AH268" i="16"/>
  <c r="AH273" i="16" s="1"/>
  <c r="O235" i="15"/>
  <c r="O236" i="15" s="1"/>
  <c r="O238" i="15"/>
  <c r="O256" i="15"/>
  <c r="O258" i="15"/>
  <c r="H235" i="15"/>
  <c r="H236" i="15" s="1"/>
  <c r="I235" i="15"/>
  <c r="I236" i="15" s="1"/>
  <c r="J101" i="15"/>
  <c r="J153" i="15"/>
  <c r="J115" i="15"/>
  <c r="J167" i="15"/>
  <c r="J134" i="15"/>
  <c r="J187" i="15" s="1"/>
  <c r="J186" i="15"/>
  <c r="G101" i="15"/>
  <c r="G153" i="15"/>
  <c r="G116" i="15"/>
  <c r="G168" i="15"/>
  <c r="H116" i="15"/>
  <c r="H168" i="15"/>
  <c r="G134" i="15"/>
  <c r="G187" i="15" s="1"/>
  <c r="G186" i="15"/>
  <c r="H134" i="15"/>
  <c r="H187" i="15" s="1"/>
  <c r="H186" i="15"/>
  <c r="AZ272" i="10"/>
  <c r="AZ268" i="10"/>
  <c r="AZ273" i="10" s="1"/>
  <c r="BB45" i="14"/>
  <c r="BB42" i="14"/>
  <c r="AC272" i="14"/>
  <c r="AC268" i="14"/>
  <c r="AC273" i="14" s="1"/>
  <c r="AC268" i="10"/>
  <c r="AC273" i="10" s="1"/>
  <c r="AC272" i="10"/>
  <c r="AH216" i="11"/>
  <c r="AG216" i="11"/>
  <c r="AF216" i="11"/>
  <c r="AE216" i="11"/>
  <c r="AD216" i="11"/>
  <c r="AC216" i="11"/>
  <c r="AA216" i="11"/>
  <c r="Z216" i="11"/>
  <c r="Y216" i="11"/>
  <c r="AH155" i="11"/>
  <c r="AG155" i="11"/>
  <c r="AF155" i="11"/>
  <c r="AE155" i="11"/>
  <c r="AD155" i="11"/>
  <c r="AC155" i="11"/>
  <c r="AB155" i="11"/>
  <c r="AA155" i="11"/>
  <c r="Z155" i="11"/>
  <c r="Y155" i="11"/>
  <c r="AI143" i="11"/>
  <c r="AH142" i="11"/>
  <c r="AG142" i="11"/>
  <c r="AF142" i="11"/>
  <c r="AE142" i="11"/>
  <c r="AD142" i="11"/>
  <c r="AC142" i="11"/>
  <c r="AB142" i="11"/>
  <c r="AA142" i="11"/>
  <c r="Z142" i="11"/>
  <c r="Y142" i="11"/>
  <c r="AK117" i="11"/>
  <c r="AJ117" i="11"/>
  <c r="AI117" i="11"/>
  <c r="AH117" i="11"/>
  <c r="AG117" i="11"/>
  <c r="AF117" i="11"/>
  <c r="AE117" i="11"/>
  <c r="AD117" i="11"/>
  <c r="AC117" i="11"/>
  <c r="AA117" i="11"/>
  <c r="Z117" i="11"/>
  <c r="Y117" i="11"/>
  <c r="AB98" i="11"/>
  <c r="AK97" i="11"/>
  <c r="AJ97" i="11"/>
  <c r="AH97" i="11"/>
  <c r="AG97" i="11"/>
  <c r="AF97" i="11"/>
  <c r="AE97" i="11"/>
  <c r="AD97" i="11"/>
  <c r="AC97" i="11"/>
  <c r="AA97" i="11"/>
  <c r="Z97" i="11"/>
  <c r="Y97" i="11"/>
  <c r="AO97" i="11"/>
  <c r="AR96" i="11"/>
  <c r="AQ96" i="11"/>
  <c r="AP96" i="11"/>
  <c r="AN96" i="11"/>
  <c r="AR109" i="11"/>
  <c r="AQ109" i="11"/>
  <c r="AP109" i="11"/>
  <c r="AN109" i="11"/>
  <c r="AC26" i="11"/>
  <c r="AB26" i="11"/>
  <c r="AA26" i="11"/>
  <c r="Z26" i="11"/>
  <c r="Y26" i="11"/>
  <c r="X26" i="11"/>
  <c r="T27" i="11"/>
  <c r="W26" i="11"/>
  <c r="V26" i="11"/>
  <c r="U26" i="11"/>
  <c r="BB45" i="10"/>
  <c r="BB42" i="10"/>
  <c r="O259" i="15" l="1"/>
  <c r="O261" i="15"/>
  <c r="O262" i="15" s="1"/>
  <c r="O239" i="15"/>
  <c r="O240" i="15" s="1"/>
  <c r="O242" i="15"/>
  <c r="O243" i="15" s="1"/>
  <c r="O244" i="15" s="1"/>
  <c r="I239" i="15"/>
  <c r="I240" i="15" s="1"/>
  <c r="I243" i="15"/>
  <c r="I244" i="15" s="1"/>
  <c r="H239" i="15"/>
  <c r="H240" i="15" s="1"/>
  <c r="H243" i="15"/>
  <c r="H244" i="15" s="1"/>
  <c r="J116" i="15"/>
  <c r="J168" i="15"/>
  <c r="J102" i="15"/>
  <c r="J154" i="15"/>
  <c r="H169" i="15"/>
  <c r="H124" i="15"/>
  <c r="H117" i="15"/>
  <c r="G169" i="15"/>
  <c r="G124" i="15"/>
  <c r="G120" i="15"/>
  <c r="G173" i="15" s="1"/>
  <c r="G117" i="15"/>
  <c r="G102" i="15"/>
  <c r="G154" i="15"/>
  <c r="AH217" i="11"/>
  <c r="AG217" i="11"/>
  <c r="AF217" i="11"/>
  <c r="AE217" i="11"/>
  <c r="AD217" i="11"/>
  <c r="AC217" i="11"/>
  <c r="AA217" i="11"/>
  <c r="Z217" i="11"/>
  <c r="Y217" i="11"/>
  <c r="AI144" i="11"/>
  <c r="AH143" i="11"/>
  <c r="AG143" i="11"/>
  <c r="AF143" i="11"/>
  <c r="AE143" i="11"/>
  <c r="AD143" i="11"/>
  <c r="AC143" i="11"/>
  <c r="AB143" i="11"/>
  <c r="AA143" i="11"/>
  <c r="Z143" i="11"/>
  <c r="Y143" i="11"/>
  <c r="AK118" i="11"/>
  <c r="AJ118" i="11"/>
  <c r="AI118" i="11"/>
  <c r="AH118" i="11"/>
  <c r="AG118" i="11"/>
  <c r="AF118" i="11"/>
  <c r="AE118" i="11"/>
  <c r="AD118" i="11"/>
  <c r="AC118" i="11"/>
  <c r="AA118" i="11"/>
  <c r="Z118" i="11"/>
  <c r="Y118" i="11"/>
  <c r="AO98" i="11"/>
  <c r="AR97" i="11"/>
  <c r="AQ97" i="11"/>
  <c r="AP97" i="11"/>
  <c r="AN97" i="11"/>
  <c r="AB99" i="11"/>
  <c r="AK98" i="11"/>
  <c r="AJ98" i="11"/>
  <c r="AI98" i="11"/>
  <c r="AH98" i="11"/>
  <c r="AG98" i="11"/>
  <c r="AF98" i="11"/>
  <c r="AE98" i="11"/>
  <c r="AD98" i="11"/>
  <c r="AC98" i="11"/>
  <c r="AA98" i="11"/>
  <c r="Z98" i="11"/>
  <c r="Y98" i="11"/>
  <c r="AC27" i="11"/>
  <c r="AB27" i="11"/>
  <c r="AA27" i="11"/>
  <c r="Z27" i="11"/>
  <c r="Y27" i="11"/>
  <c r="X27" i="11"/>
  <c r="T28" i="11"/>
  <c r="W27" i="11"/>
  <c r="V27" i="11"/>
  <c r="U27" i="11"/>
  <c r="J155" i="15" l="1"/>
  <c r="J107" i="15"/>
  <c r="J160" i="15" s="1"/>
  <c r="J103" i="15"/>
  <c r="J169" i="15"/>
  <c r="J124" i="15"/>
  <c r="J120" i="15"/>
  <c r="J117" i="15"/>
  <c r="G155" i="15"/>
  <c r="G107" i="15"/>
  <c r="G160" i="15" s="1"/>
  <c r="G103" i="15"/>
  <c r="G170" i="15"/>
  <c r="G121" i="15"/>
  <c r="G174" i="15" s="1"/>
  <c r="G118" i="15"/>
  <c r="G125" i="15"/>
  <c r="G177" i="15"/>
  <c r="H118" i="15"/>
  <c r="H171" i="15" s="1"/>
  <c r="H170" i="15"/>
  <c r="H125" i="15"/>
  <c r="H177" i="15"/>
  <c r="AI145" i="11"/>
  <c r="AH144" i="11"/>
  <c r="AG144" i="11"/>
  <c r="AF144" i="11"/>
  <c r="AE144" i="11"/>
  <c r="AD144" i="11"/>
  <c r="AC144" i="11"/>
  <c r="AB144" i="11"/>
  <c r="AA144" i="11"/>
  <c r="Z144" i="11"/>
  <c r="Y144" i="11"/>
  <c r="AK119" i="11"/>
  <c r="AJ119" i="11"/>
  <c r="AI119" i="11"/>
  <c r="AH119" i="11"/>
  <c r="AG119" i="11"/>
  <c r="AE119" i="11"/>
  <c r="AD119" i="11"/>
  <c r="AC119" i="11"/>
  <c r="AA119" i="11"/>
  <c r="Z119" i="11"/>
  <c r="Y119" i="11"/>
  <c r="AB100" i="11"/>
  <c r="AF99" i="11"/>
  <c r="AK99" i="11"/>
  <c r="AJ99" i="11"/>
  <c r="AI99" i="11"/>
  <c r="AH99" i="11"/>
  <c r="AG99" i="11"/>
  <c r="AE99" i="11"/>
  <c r="AD99" i="11"/>
  <c r="AC99" i="11"/>
  <c r="AA99" i="11"/>
  <c r="Z99" i="11"/>
  <c r="Y99" i="11"/>
  <c r="AO99" i="11"/>
  <c r="AR98" i="11"/>
  <c r="AQ98" i="11"/>
  <c r="AP98" i="11"/>
  <c r="AN98" i="11"/>
  <c r="AC28" i="11"/>
  <c r="AB28" i="11"/>
  <c r="AA28" i="11"/>
  <c r="Z28" i="11"/>
  <c r="Y28" i="11"/>
  <c r="X28" i="11"/>
  <c r="T29" i="11"/>
  <c r="W28" i="11"/>
  <c r="V28" i="11"/>
  <c r="U28" i="11"/>
  <c r="G122" i="15" l="1"/>
  <c r="G175" i="15" s="1"/>
  <c r="G171" i="15"/>
  <c r="J170" i="15"/>
  <c r="J118" i="15"/>
  <c r="J171" i="15" s="1"/>
  <c r="J121" i="15"/>
  <c r="J173" i="15"/>
  <c r="J125" i="15"/>
  <c r="J177" i="15"/>
  <c r="J156" i="15"/>
  <c r="J108" i="15"/>
  <c r="J161" i="15" s="1"/>
  <c r="J104" i="15"/>
  <c r="H126" i="15"/>
  <c r="H179" i="15" s="1"/>
  <c r="H178" i="15"/>
  <c r="G126" i="15"/>
  <c r="G179" i="15" s="1"/>
  <c r="G178" i="15"/>
  <c r="G156" i="15"/>
  <c r="G108" i="15"/>
  <c r="G161" i="15" s="1"/>
  <c r="G104" i="15"/>
  <c r="AH145" i="11"/>
  <c r="AG145" i="11"/>
  <c r="AF145" i="11"/>
  <c r="AE145" i="11"/>
  <c r="AD145" i="11"/>
  <c r="AC145" i="11"/>
  <c r="AB145" i="11"/>
  <c r="AA145" i="11"/>
  <c r="Z145" i="11"/>
  <c r="AI146" i="11"/>
  <c r="Y145" i="11"/>
  <c r="AK120" i="11"/>
  <c r="AJ120" i="11"/>
  <c r="AI120" i="11"/>
  <c r="AH120" i="11"/>
  <c r="AG120" i="11"/>
  <c r="AF120" i="11"/>
  <c r="AE120" i="11"/>
  <c r="AD120" i="11"/>
  <c r="AC120" i="11"/>
  <c r="AA120" i="11"/>
  <c r="Z120" i="11"/>
  <c r="Y120" i="11"/>
  <c r="AO100" i="11"/>
  <c r="AR99" i="11"/>
  <c r="AQ99" i="11"/>
  <c r="AP99" i="11"/>
  <c r="AN99" i="11"/>
  <c r="AB101" i="11"/>
  <c r="AK100" i="11"/>
  <c r="AJ100" i="11"/>
  <c r="AI100" i="11"/>
  <c r="AH100" i="11"/>
  <c r="AG100" i="11"/>
  <c r="AF100" i="11"/>
  <c r="AE100" i="11"/>
  <c r="AD100" i="11"/>
  <c r="AC100" i="11"/>
  <c r="AA100" i="11"/>
  <c r="Z100" i="11"/>
  <c r="Y100" i="11"/>
  <c r="AC29" i="11"/>
  <c r="AB29" i="11"/>
  <c r="AA29" i="11"/>
  <c r="Z29" i="11"/>
  <c r="Y29" i="11"/>
  <c r="X29" i="11"/>
  <c r="T30" i="11"/>
  <c r="W29" i="11"/>
  <c r="V29" i="11"/>
  <c r="U29" i="11"/>
  <c r="J157" i="15" l="1"/>
  <c r="J109" i="15"/>
  <c r="J162" i="15" s="1"/>
  <c r="J105" i="15"/>
  <c r="J126" i="15"/>
  <c r="J179" i="15" s="1"/>
  <c r="J178" i="15"/>
  <c r="J174" i="15"/>
  <c r="J122" i="15"/>
  <c r="J175" i="15" s="1"/>
  <c r="G157" i="15"/>
  <c r="G109" i="15"/>
  <c r="G162" i="15" s="1"/>
  <c r="G105" i="15"/>
  <c r="AH146" i="11"/>
  <c r="AG146" i="11"/>
  <c r="AF146" i="11"/>
  <c r="AE146" i="11"/>
  <c r="AD146" i="11"/>
  <c r="AC146" i="11"/>
  <c r="AB146" i="11"/>
  <c r="AA146" i="11"/>
  <c r="Z146" i="11"/>
  <c r="Y146" i="11"/>
  <c r="AI147" i="11"/>
  <c r="AK101" i="11"/>
  <c r="AJ101" i="11"/>
  <c r="AI101" i="11"/>
  <c r="AH101" i="11"/>
  <c r="AG101" i="11"/>
  <c r="AF101" i="11"/>
  <c r="AE101" i="11"/>
  <c r="AD101" i="11"/>
  <c r="AC101" i="11"/>
  <c r="AA101" i="11"/>
  <c r="Z101" i="11"/>
  <c r="Y101" i="11"/>
  <c r="AO101" i="11"/>
  <c r="AR100" i="11"/>
  <c r="AQ100" i="11"/>
  <c r="AP100" i="11"/>
  <c r="AN100" i="11"/>
  <c r="AC30" i="11"/>
  <c r="AB30" i="11"/>
  <c r="AA30" i="11"/>
  <c r="Z30" i="11"/>
  <c r="Y30" i="11"/>
  <c r="X30" i="11"/>
  <c r="T31" i="11"/>
  <c r="W30" i="11"/>
  <c r="V30" i="11"/>
  <c r="U30" i="11"/>
  <c r="J110" i="15" l="1"/>
  <c r="J163" i="15" s="1"/>
  <c r="J158" i="15"/>
  <c r="G110" i="15"/>
  <c r="G163" i="15" s="1"/>
  <c r="G158" i="15"/>
  <c r="AH147" i="11"/>
  <c r="AG147" i="11"/>
  <c r="AF147" i="11"/>
  <c r="AE147" i="11"/>
  <c r="AD147" i="11"/>
  <c r="AC147" i="11"/>
  <c r="AB147" i="11"/>
  <c r="Z147" i="11"/>
  <c r="AA147" i="11"/>
  <c r="Y147" i="11"/>
  <c r="AR101" i="11"/>
  <c r="AQ101" i="11"/>
  <c r="AP101" i="11"/>
  <c r="AN101" i="11"/>
  <c r="AC31" i="11"/>
  <c r="AB31" i="11"/>
  <c r="AA31" i="11"/>
  <c r="Z31" i="11"/>
  <c r="Y31" i="11"/>
  <c r="X31" i="11"/>
  <c r="W31" i="11"/>
  <c r="V31" i="11"/>
  <c r="U31" i="11"/>
</calcChain>
</file>

<file path=xl/sharedStrings.xml><?xml version="1.0" encoding="utf-8"?>
<sst xmlns="http://schemas.openxmlformats.org/spreadsheetml/2006/main" count="6618" uniqueCount="1460">
  <si>
    <t>Years</t>
  </si>
  <si>
    <t>Numbers</t>
  </si>
  <si>
    <t>Type</t>
  </si>
  <si>
    <t>Year</t>
  </si>
  <si>
    <t>Archetype</t>
  </si>
  <si>
    <t>Loc Name</t>
  </si>
  <si>
    <t>Speed</t>
  </si>
  <si>
    <t>Reliability</t>
  </si>
  <si>
    <t>Armor</t>
  </si>
  <si>
    <t>Production cost</t>
  </si>
  <si>
    <t>Light</t>
  </si>
  <si>
    <t>light_tank_chassis_0</t>
  </si>
  <si>
    <t>Early WWII Light Chassis</t>
  </si>
  <si>
    <t>light_tank_chassis_1</t>
  </si>
  <si>
    <t>Mid-WWII Light Chassis</t>
  </si>
  <si>
    <t>light_tank_chassis_2</t>
  </si>
  <si>
    <t>Late WWII Light Chassis</t>
  </si>
  <si>
    <t>light_tank_chassis_3</t>
  </si>
  <si>
    <t>Post-WWII Light Chassis</t>
  </si>
  <si>
    <t>light_tank_chassis_4</t>
  </si>
  <si>
    <t>Early Cold War Light Chassis</t>
  </si>
  <si>
    <t>light_tank_chassis_5</t>
  </si>
  <si>
    <t>Mid-Cold War Light Chassis</t>
  </si>
  <si>
    <t>light_tank_chassis_6</t>
  </si>
  <si>
    <t>Late Cold War Light Chassis</t>
  </si>
  <si>
    <t>light_tank_chassis_7</t>
  </si>
  <si>
    <t>Early Modern Light Chassis</t>
  </si>
  <si>
    <t>light_tank_chassis_8</t>
  </si>
  <si>
    <t>Modern Light Chassis</t>
  </si>
  <si>
    <t>light_tank_chassis_9</t>
  </si>
  <si>
    <t>Advanced Modern Light Chassis</t>
  </si>
  <si>
    <t>Medium</t>
  </si>
  <si>
    <t>medium_tank_chassis_0</t>
  </si>
  <si>
    <t>Early WWII Medium Tank Chassis</t>
  </si>
  <si>
    <t>medium_tank_chassis_1</t>
  </si>
  <si>
    <t>Mid-WWII Medium Tank Chassis</t>
  </si>
  <si>
    <t>medium_tank_chassis_2</t>
  </si>
  <si>
    <t>Late WWII Medium Tank Chassis</t>
  </si>
  <si>
    <t>medium_tank_chassis_3</t>
  </si>
  <si>
    <t>Post-WWII Medium Tank Chassis</t>
  </si>
  <si>
    <t>medium_tank_chassis_4</t>
  </si>
  <si>
    <t>MBT Generation 1</t>
  </si>
  <si>
    <t>medium_tank_chassis_5</t>
  </si>
  <si>
    <t>MBT Generation 1+</t>
  </si>
  <si>
    <t>medium_tank_chassis_6</t>
  </si>
  <si>
    <t>MBT Generation 2</t>
  </si>
  <si>
    <t>medium_tank_chassis_7</t>
  </si>
  <si>
    <t>MBT Generation 2+</t>
  </si>
  <si>
    <t>medium_tank_chassis_8</t>
  </si>
  <si>
    <t>MBT Generation 3</t>
  </si>
  <si>
    <t>medium_tank_chassis_9</t>
  </si>
  <si>
    <t>MBT Generation 3+</t>
  </si>
  <si>
    <t>Heavy</t>
  </si>
  <si>
    <t>heavy_tank_chassis_0</t>
  </si>
  <si>
    <t>Early WWII Heavy Tank Chassis</t>
  </si>
  <si>
    <t>heavy_tank_chassis_1</t>
  </si>
  <si>
    <t>Mid WWII Heavy Tank Chassis</t>
  </si>
  <si>
    <t>heavy_tank_chassis_2</t>
  </si>
  <si>
    <t>Late  WWII Heavy Tank Chassis</t>
  </si>
  <si>
    <t>heavy_tank_chassis_3</t>
  </si>
  <si>
    <t>Post-WWII Heavy Tank Chassis</t>
  </si>
  <si>
    <t>heavy_tank_chassis_4</t>
  </si>
  <si>
    <t>Early Cold War Heavy Tank Chassis</t>
  </si>
  <si>
    <t>Hull Type</t>
  </si>
  <si>
    <t>Infantry Carrier</t>
  </si>
  <si>
    <t>APC</t>
  </si>
  <si>
    <t>Light Hull</t>
  </si>
  <si>
    <t>Heavy APC</t>
  </si>
  <si>
    <t>IFV</t>
  </si>
  <si>
    <t>Light Tank</t>
  </si>
  <si>
    <t>Heavy IFV</t>
  </si>
  <si>
    <t>Light Tank Destroyer</t>
  </si>
  <si>
    <t>LL SP Artillery</t>
  </si>
  <si>
    <t>MBT</t>
  </si>
  <si>
    <t>LM SP Artillery</t>
  </si>
  <si>
    <t>Heavy Tank</t>
  </si>
  <si>
    <t>LH SP Artillery</t>
  </si>
  <si>
    <t>Fire Support</t>
  </si>
  <si>
    <t>Tank Destroyer</t>
  </si>
  <si>
    <t>Light SPAA</t>
  </si>
  <si>
    <t>ATGM Carrier</t>
  </si>
  <si>
    <t>ATGM Tank</t>
  </si>
  <si>
    <t>Medium Hull</t>
  </si>
  <si>
    <t>Artillery</t>
  </si>
  <si>
    <t>Light SP Artillery</t>
  </si>
  <si>
    <t>Medium SP Artillery</t>
  </si>
  <si>
    <t>Heavy SP Artillery</t>
  </si>
  <si>
    <t>Medium Tank Destroyer</t>
  </si>
  <si>
    <t>Anti-Air</t>
  </si>
  <si>
    <t>ML SP Artillery</t>
  </si>
  <si>
    <t>Medium SPAA</t>
  </si>
  <si>
    <t>MM SP Artillery</t>
  </si>
  <si>
    <t>MH SP Artillery</t>
  </si>
  <si>
    <t>Heavy Hull</t>
  </si>
  <si>
    <t>Heavy Tank Destroyer</t>
  </si>
  <si>
    <t>HL SP Artillery</t>
  </si>
  <si>
    <t>HM SP Artillery</t>
  </si>
  <si>
    <t>HH SP Artillery</t>
  </si>
  <si>
    <t>Role</t>
  </si>
  <si>
    <t>Equipment</t>
  </si>
  <si>
    <t>Manpower</t>
  </si>
  <si>
    <t>Training</t>
  </si>
  <si>
    <t>Supply Use</t>
  </si>
  <si>
    <t>Weight</t>
  </si>
  <si>
    <t>Width</t>
  </si>
  <si>
    <t>Organisation</t>
  </si>
  <si>
    <t>Morale</t>
  </si>
  <si>
    <t>Strength</t>
  </si>
  <si>
    <t>Suppression</t>
  </si>
  <si>
    <t>Line</t>
  </si>
  <si>
    <t>Infantry-Carrier</t>
  </si>
  <si>
    <t>Support</t>
  </si>
  <si>
    <t>Recon</t>
  </si>
  <si>
    <t>Light Tank Recon</t>
  </si>
  <si>
    <t>IFV Recon</t>
  </si>
  <si>
    <t>APC Recon</t>
  </si>
  <si>
    <t>Motorised Recon</t>
  </si>
  <si>
    <t>MBT Recon</t>
  </si>
  <si>
    <t>Light SPAAG</t>
  </si>
  <si>
    <t>Medium SPAAG</t>
  </si>
  <si>
    <t>Special?</t>
  </si>
  <si>
    <t>Stats</t>
  </si>
  <si>
    <t>Name</t>
  </si>
  <si>
    <t>Abbreviation</t>
  </si>
  <si>
    <t>Hard attack</t>
  </si>
  <si>
    <t>Soft attack</t>
  </si>
  <si>
    <t>Piercing</t>
  </si>
  <si>
    <t>Max speed</t>
  </si>
  <si>
    <t>Tank Guns</t>
  </si>
  <si>
    <t>Light Guns</t>
  </si>
  <si>
    <t>tank_light_cannon0</t>
  </si>
  <si>
    <t>lc1</t>
  </si>
  <si>
    <t>Early WWII Light Gun</t>
  </si>
  <si>
    <t>1,5</t>
  </si>
  <si>
    <t>-0,1</t>
  </si>
  <si>
    <t>tank_light_cannon1</t>
  </si>
  <si>
    <t>lc2</t>
  </si>
  <si>
    <t>Mid-WWII Light Gun</t>
  </si>
  <si>
    <t>2,5</t>
  </si>
  <si>
    <t>tank_light_cannon2</t>
  </si>
  <si>
    <t>lc3</t>
  </si>
  <si>
    <t>Late WWII Light Gun</t>
  </si>
  <si>
    <t>3,5</t>
  </si>
  <si>
    <t>tank_light_cannon3</t>
  </si>
  <si>
    <t>lc4</t>
  </si>
  <si>
    <t>Post-WWII Light Gun</t>
  </si>
  <si>
    <t>4,5</t>
  </si>
  <si>
    <t>tank_light_cannon4</t>
  </si>
  <si>
    <t>lc5</t>
  </si>
  <si>
    <t>Early Cold War Light Gun</t>
  </si>
  <si>
    <t>82,5%</t>
  </si>
  <si>
    <t>5,5</t>
  </si>
  <si>
    <t>-0,2</t>
  </si>
  <si>
    <t>tank_light_cannon5</t>
  </si>
  <si>
    <t>lc6</t>
  </si>
  <si>
    <t>Mid-Cold War Light Gun</t>
  </si>
  <si>
    <t>6,5</t>
  </si>
  <si>
    <t>tank_light_cannon6</t>
  </si>
  <si>
    <t>lc7</t>
  </si>
  <si>
    <t>Late Cold War Light Gun</t>
  </si>
  <si>
    <t>87,5%</t>
  </si>
  <si>
    <t>7,5</t>
  </si>
  <si>
    <t>tank_light_cannon7</t>
  </si>
  <si>
    <t>lc8</t>
  </si>
  <si>
    <t>Early Modern Light Gun</t>
  </si>
  <si>
    <t>8,5</t>
  </si>
  <si>
    <t>-0,3</t>
  </si>
  <si>
    <t>tank_light_cannon8</t>
  </si>
  <si>
    <t>lc9</t>
  </si>
  <si>
    <t>Modern Light Gun</t>
  </si>
  <si>
    <t>92,5%</t>
  </si>
  <si>
    <t>9,5</t>
  </si>
  <si>
    <t>tank_light_cannon9</t>
  </si>
  <si>
    <t>lc10</t>
  </si>
  <si>
    <t>Advanced Modern Light Gun</t>
  </si>
  <si>
    <t>10,5</t>
  </si>
  <si>
    <t>Medium Guns</t>
  </si>
  <si>
    <t>tank_smooth_medium_cannon0</t>
  </si>
  <si>
    <t>s-mc1</t>
  </si>
  <si>
    <t>Early WWII Medium Gun</t>
  </si>
  <si>
    <t>tank_smooth_medium_cannon1</t>
  </si>
  <si>
    <t>Mid-WWII Medium Gun</t>
  </si>
  <si>
    <t>tank_smooth_medium_cannon2</t>
  </si>
  <si>
    <t>Late WWII Medium Gun</t>
  </si>
  <si>
    <t>tank_smooth_medium_cannon3</t>
  </si>
  <si>
    <t>Post-WWII Medium Gun</t>
  </si>
  <si>
    <t>tank_smooth_medium_cannon4</t>
  </si>
  <si>
    <t>Early Cold War MBT Gun Smoothbore</t>
  </si>
  <si>
    <t>112,5%</t>
  </si>
  <si>
    <t>-0,4</t>
  </si>
  <si>
    <t>tank_smooth_medium_cannon5</t>
  </si>
  <si>
    <t>Mid-Cold War MBT Gun Smoothbore</t>
  </si>
  <si>
    <t>tank_smooth_medium_cannon6</t>
  </si>
  <si>
    <t>Late Cold War MBT Gun Smoothbore</t>
  </si>
  <si>
    <t>117,5%</t>
  </si>
  <si>
    <t>tank_smooth_medium_cannon7</t>
  </si>
  <si>
    <t>Early Modern MBT Gun Smoothbore</t>
  </si>
  <si>
    <t>tank_smooth_medium_cannon8</t>
  </si>
  <si>
    <t>Modern MBT Gun Smoothbore</t>
  </si>
  <si>
    <t>122,5%</t>
  </si>
  <si>
    <t>tank_smooth_medium_cannon9</t>
  </si>
  <si>
    <t>Advanced Modern MBT Gun Smoothbore</t>
  </si>
  <si>
    <t>tank_rifled_medium_cannon1</t>
  </si>
  <si>
    <t>r-mc1</t>
  </si>
  <si>
    <t>Early Cold War MBT Gun Rifled</t>
  </si>
  <si>
    <t>tank_rifled_medium_cannon2</t>
  </si>
  <si>
    <t>Mid-Cold War MBT Gun Rifled</t>
  </si>
  <si>
    <t>tank_rifled_medium_cannon3</t>
  </si>
  <si>
    <t>Late Cold War MBT Gun Rifled</t>
  </si>
  <si>
    <t>107,5%</t>
  </si>
  <si>
    <t>tank_rifled_medium_cannon4</t>
  </si>
  <si>
    <t>Early Modern MBT Gun Rifled</t>
  </si>
  <si>
    <t>tank_rifled_medium_cannon5</t>
  </si>
  <si>
    <t>Modern MBT Gun Rifled</t>
  </si>
  <si>
    <t>tank_rifled_medium_cannon6</t>
  </si>
  <si>
    <t>Advanced Modern MBT Gun Rifled</t>
  </si>
  <si>
    <t>Heavy Guns</t>
  </si>
  <si>
    <t>Mid-WWII Heavy Gun</t>
  </si>
  <si>
    <t>Late WWII Heavy Gun</t>
  </si>
  <si>
    <t>Post-WWII Heavy Gun</t>
  </si>
  <si>
    <t>Early Cold War Heavy Gun</t>
  </si>
  <si>
    <t>-0,5</t>
  </si>
  <si>
    <t>Super Heavy Guns</t>
  </si>
  <si>
    <t>Early Cold War Super Heavy Gun</t>
  </si>
  <si>
    <t>-0,7</t>
  </si>
  <si>
    <t>Gun-ATGM Launcher</t>
  </si>
  <si>
    <t>Early Cold War Gun-ATGM Launcher</t>
  </si>
  <si>
    <t>MBT Heavy Guns</t>
  </si>
  <si>
    <t>Early Heavy MBT Gun</t>
  </si>
  <si>
    <t>Modernized Heavy MBT Gun</t>
  </si>
  <si>
    <t>Advanced Heavy MBT Gun</t>
  </si>
  <si>
    <t>Low-Pressure Guns</t>
  </si>
  <si>
    <t>Post-WWII Low-Pressure Gun</t>
  </si>
  <si>
    <t>-2,5%</t>
  </si>
  <si>
    <t>Early Cold War Low-Pressure Gun</t>
  </si>
  <si>
    <t>Mid-Cold War Low-Pressure Gun</t>
  </si>
  <si>
    <t>Early Modern Low-Pressure Gun</t>
  </si>
  <si>
    <t>Ammo</t>
  </si>
  <si>
    <t>Primary</t>
  </si>
  <si>
    <t>Secondary</t>
  </si>
  <si>
    <t>Tech Name</t>
  </si>
  <si>
    <t>Resources</t>
  </si>
  <si>
    <t>Long (also module name)</t>
  </si>
  <si>
    <t>Short</t>
  </si>
  <si>
    <t>Reliability, %</t>
  </si>
  <si>
    <t>Hardness</t>
  </si>
  <si>
    <t>Hard attack, %</t>
  </si>
  <si>
    <t>Soft attack, %</t>
  </si>
  <si>
    <t>Breakthrough</t>
  </si>
  <si>
    <t>Breakthrough, %</t>
  </si>
  <si>
    <t>Defence</t>
  </si>
  <si>
    <t>Defence, %</t>
  </si>
  <si>
    <t>Max speed, %</t>
  </si>
  <si>
    <t>Armor, %</t>
  </si>
  <si>
    <t>Supply consumption</t>
  </si>
  <si>
    <t>Supply consumption, %</t>
  </si>
  <si>
    <t>Fuel consumption</t>
  </si>
  <si>
    <t>Fuel consumption, %</t>
  </si>
  <si>
    <t>Production cost, %</t>
  </si>
  <si>
    <t>Dismantling cost</t>
  </si>
  <si>
    <t>Electricity</t>
  </si>
  <si>
    <t>Construction metals</t>
  </si>
  <si>
    <t>Light metals</t>
  </si>
  <si>
    <t>Rare-earth metals</t>
  </si>
  <si>
    <t>Nuclear materials</t>
  </si>
  <si>
    <t>Light Hull [DONE]</t>
  </si>
  <si>
    <t>Early World War 2 Light Hull</t>
  </si>
  <si>
    <t>Light Hull I</t>
  </si>
  <si>
    <t>Light_Hull_0</t>
  </si>
  <si>
    <t>Mid-World War 2 Light Hull</t>
  </si>
  <si>
    <t>Light Hull II</t>
  </si>
  <si>
    <t>Light_Hull_1</t>
  </si>
  <si>
    <t>Late World War 2 Light Hull</t>
  </si>
  <si>
    <t>Light Hull III</t>
  </si>
  <si>
    <t>Light_Hull_2</t>
  </si>
  <si>
    <t>Post-World War 2 Light Hull</t>
  </si>
  <si>
    <t>Light Hull IV</t>
  </si>
  <si>
    <t>Light_Hull_3</t>
  </si>
  <si>
    <t>Early Cold War Light Hull</t>
  </si>
  <si>
    <t>Light Hull V</t>
  </si>
  <si>
    <t>Light_Hull_4</t>
  </si>
  <si>
    <t>Mid-Cold War Light Hull</t>
  </si>
  <si>
    <t>Light Hull VI</t>
  </si>
  <si>
    <t>Light_Hull_5</t>
  </si>
  <si>
    <t>Late Cold War Light Hull</t>
  </si>
  <si>
    <t>Light Hull VII</t>
  </si>
  <si>
    <t>Light_Hull_6</t>
  </si>
  <si>
    <t>Early Modern Light Hull</t>
  </si>
  <si>
    <t>Light Hull VIII</t>
  </si>
  <si>
    <t>Light_Hull_7</t>
  </si>
  <si>
    <t>Modern Light Hull</t>
  </si>
  <si>
    <t>Light Hull IX</t>
  </si>
  <si>
    <t>Light_Hull_8</t>
  </si>
  <si>
    <t>Advanced Modern Light Hull</t>
  </si>
  <si>
    <t>Light Hull X</t>
  </si>
  <si>
    <t>Light_Hull_9</t>
  </si>
  <si>
    <t>Medium/MBT Hull [DONE]</t>
  </si>
  <si>
    <t>Early World War 2 Medium Hull</t>
  </si>
  <si>
    <t>Medium Hull I</t>
  </si>
  <si>
    <t>MBT_Hull_0</t>
  </si>
  <si>
    <t>Mid-World War 2 Medium Hull</t>
  </si>
  <si>
    <t>Medium Hull II</t>
  </si>
  <si>
    <t>MBT_Hull_1</t>
  </si>
  <si>
    <t>Late World War 2 Medium Hull</t>
  </si>
  <si>
    <t>Medium Hull III</t>
  </si>
  <si>
    <t>MBT_Hull_2</t>
  </si>
  <si>
    <t>Post-World War 2 Medium Hull</t>
  </si>
  <si>
    <t>Medium Hull IV</t>
  </si>
  <si>
    <t>MBT_Hull_3</t>
  </si>
  <si>
    <t>First Generation Main Battle Tank Hull</t>
  </si>
  <si>
    <t>MBT Hull I</t>
  </si>
  <si>
    <t>MBT_Hull_4</t>
  </si>
  <si>
    <t>First+ Generation Main Battle Tank Hull</t>
  </si>
  <si>
    <t>MBT Hull II</t>
  </si>
  <si>
    <t>MBT_Hull_5</t>
  </si>
  <si>
    <t>Second Generation Main Battle Tank Hull</t>
  </si>
  <si>
    <t>MBT Hull III</t>
  </si>
  <si>
    <t>MBT_Hull_6</t>
  </si>
  <si>
    <t>Second+ Generation Main Battle Tank Hull</t>
  </si>
  <si>
    <t>MBT Hull IV</t>
  </si>
  <si>
    <t>MBT_Hull_7</t>
  </si>
  <si>
    <t>Third Generation Main Battle Tank Hull</t>
  </si>
  <si>
    <t>MBT Hull V</t>
  </si>
  <si>
    <t>MBT_Hull_8</t>
  </si>
  <si>
    <t>Third+ Generation Main Battle Tank Hull</t>
  </si>
  <si>
    <t>MBT Hull VI</t>
  </si>
  <si>
    <t>MBT_Hull_9</t>
  </si>
  <si>
    <t>Heavy Hull [DONE]</t>
  </si>
  <si>
    <t>Early World War 2 Heavy Hull</t>
  </si>
  <si>
    <t>Heavy Hull I</t>
  </si>
  <si>
    <t>Heavy_Hull_0</t>
  </si>
  <si>
    <t>Mid-World War 2 Heavy Hull</t>
  </si>
  <si>
    <t>Heavy Hull II</t>
  </si>
  <si>
    <t>Heavy_Hull_1</t>
  </si>
  <si>
    <t>Late World War 2 Heavy Hull</t>
  </si>
  <si>
    <t>Heavy Hull III</t>
  </si>
  <si>
    <t>Heavy_Hull_2</t>
  </si>
  <si>
    <t>Post-World War 2 Heavy Hull</t>
  </si>
  <si>
    <t>Heavy Hull IV</t>
  </si>
  <si>
    <t>Heavy_Hull_3</t>
  </si>
  <si>
    <t>Early Cold War Heavy Hull</t>
  </si>
  <si>
    <t>Heavy Hull V</t>
  </si>
  <si>
    <t>Heavy_Hull_4</t>
  </si>
  <si>
    <t>Recon, %</t>
  </si>
  <si>
    <t>Autoloaders [DONE]</t>
  </si>
  <si>
    <t>Basic</t>
  </si>
  <si>
    <t>Gun Rammer</t>
  </si>
  <si>
    <t>Loader_0_Rammer</t>
  </si>
  <si>
    <t>Mechanised Ammo Rack</t>
  </si>
  <si>
    <t>Mech Ammo Rack</t>
  </si>
  <si>
    <t>Loader_1_Mech_Ammo</t>
  </si>
  <si>
    <t>Drum</t>
  </si>
  <si>
    <t>Drum Loading Mechanism</t>
  </si>
  <si>
    <t>Drum Autoloader I</t>
  </si>
  <si>
    <t>Loader_2a_Drum</t>
  </si>
  <si>
    <t>Advanced Drum Loading Mechanism</t>
  </si>
  <si>
    <t>Drum Autoloader II</t>
  </si>
  <si>
    <t>Loader_2b_Drum</t>
  </si>
  <si>
    <t>Carousel</t>
  </si>
  <si>
    <t>Early Carousel Loading Mechanism</t>
  </si>
  <si>
    <t>Carousel Autoloader I</t>
  </si>
  <si>
    <t>Loader_3a_Carousel</t>
  </si>
  <si>
    <t>Modernised Carousel Loading Mechanism</t>
  </si>
  <si>
    <t>Carousel Autoloader II</t>
  </si>
  <si>
    <t>Loader_3b_Carousel</t>
  </si>
  <si>
    <t>Advanced Carousel Loading Mechanism</t>
  </si>
  <si>
    <t>Carousel Autoloader III</t>
  </si>
  <si>
    <t>Loader_3c_Carousel</t>
  </si>
  <si>
    <t>Modern Carousel Loading Mechanism</t>
  </si>
  <si>
    <t>Carousel Autoloader IV</t>
  </si>
  <si>
    <t>Loader_3d_Carousel</t>
  </si>
  <si>
    <t>Conveyor Belt</t>
  </si>
  <si>
    <t>Early Conveyor Belt Loading Mechanism</t>
  </si>
  <si>
    <t>Belt Autoloader I</t>
  </si>
  <si>
    <t>Loader_4a_Belt</t>
  </si>
  <si>
    <t>Advanced Conveyor Belt Loading Mechanism</t>
  </si>
  <si>
    <t>Belt Autoloader II</t>
  </si>
  <si>
    <t>Loader_4b_Belt</t>
  </si>
  <si>
    <t>Modern Conveyor Belt Loading Mechanism</t>
  </si>
  <si>
    <t>Belt Autoloader III</t>
  </si>
  <si>
    <t>Loader_4c_Belt</t>
  </si>
  <si>
    <t>Aiming [DONE]</t>
  </si>
  <si>
    <t>Basic Aiming Mechanisms</t>
  </si>
  <si>
    <t>Aiming I</t>
  </si>
  <si>
    <t>Aim_0</t>
  </si>
  <si>
    <t>One-Plane Stabilizer</t>
  </si>
  <si>
    <t>Aiming II</t>
  </si>
  <si>
    <t>Aim_1</t>
  </si>
  <si>
    <t>Two-Plane Stabilizer</t>
  </si>
  <si>
    <t>Aiming III</t>
  </si>
  <si>
    <t>Aim_2</t>
  </si>
  <si>
    <t>Computerised Aiming Systems</t>
  </si>
  <si>
    <t>Aiming IV</t>
  </si>
  <si>
    <t>Aim_3</t>
  </si>
  <si>
    <t>Advanced Computerised Aiming Systems</t>
  </si>
  <si>
    <t>Aiming V</t>
  </si>
  <si>
    <t>Aim_4</t>
  </si>
  <si>
    <t>Modern Computerised Aiming Systems</t>
  </si>
  <si>
    <t>Aiming VI</t>
  </si>
  <si>
    <t>Aim_5</t>
  </si>
  <si>
    <t>Computing [DONE]</t>
  </si>
  <si>
    <t>Mechanical Ballistic Computer</t>
  </si>
  <si>
    <t>Ballistic Computer I</t>
  </si>
  <si>
    <t>Computer_0</t>
  </si>
  <si>
    <t>Analog-Digital Ballistic Computer</t>
  </si>
  <si>
    <t>Ballistic Computer II</t>
  </si>
  <si>
    <t>Computer_1</t>
  </si>
  <si>
    <t>Digital Ballistic Computer</t>
  </si>
  <si>
    <t>Ballistic Computer III</t>
  </si>
  <si>
    <t>Computer_2</t>
  </si>
  <si>
    <t>Advanced Digital Ballistic Computer</t>
  </si>
  <si>
    <t>Ballistic Computer IV</t>
  </si>
  <si>
    <t>Computer_3</t>
  </si>
  <si>
    <t>Early Modern Digital Ballistic Computer</t>
  </si>
  <si>
    <t>Ballistic Computer V</t>
  </si>
  <si>
    <t>Computer_4</t>
  </si>
  <si>
    <t>Modern Digital Ballistic Computer</t>
  </si>
  <si>
    <t>Ballistic Computer VI</t>
  </si>
  <si>
    <t>Computer_5</t>
  </si>
  <si>
    <t>Advanced Modern Digital Ballistic Computer</t>
  </si>
  <si>
    <t>Ballistic Computer VII</t>
  </si>
  <si>
    <t>Computer_6</t>
  </si>
  <si>
    <t>Optics [DONE]</t>
  </si>
  <si>
    <t>Basic Optic Sights</t>
  </si>
  <si>
    <t>Sights I</t>
  </si>
  <si>
    <t>Optics_0</t>
  </si>
  <si>
    <t>Sight With Optical Rangefinder</t>
  </si>
  <si>
    <t>Sights II</t>
  </si>
  <si>
    <t>Optics_1</t>
  </si>
  <si>
    <t>Stabilized Basic Sight</t>
  </si>
  <si>
    <t>Sights III</t>
  </si>
  <si>
    <t>Optics_2</t>
  </si>
  <si>
    <t>Stabilized Sight With Optical Rangefinder</t>
  </si>
  <si>
    <t>Sights IV</t>
  </si>
  <si>
    <t>Optics_3</t>
  </si>
  <si>
    <t>Sight With Laser Rangefinder</t>
  </si>
  <si>
    <t>Sights V</t>
  </si>
  <si>
    <t>Optics_4</t>
  </si>
  <si>
    <t>Advanced Sight With Laser Rangefinder</t>
  </si>
  <si>
    <t>Sights VI</t>
  </si>
  <si>
    <t>Optics_5</t>
  </si>
  <si>
    <t>Early Modern Sight With Laser Rangefinder</t>
  </si>
  <si>
    <t>Sights VII</t>
  </si>
  <si>
    <t>Optics_6</t>
  </si>
  <si>
    <t>Sights VIII</t>
  </si>
  <si>
    <t>Optics_7</t>
  </si>
  <si>
    <t>Commander Optics [DONE]</t>
  </si>
  <si>
    <t>Early Panoramic Sight</t>
  </si>
  <si>
    <t>Panoramic Sight I</t>
  </si>
  <si>
    <t>Panoramic_Sight_0</t>
  </si>
  <si>
    <t>Advanced Panoramic Sight</t>
  </si>
  <si>
    <t>Panoramic Sight II</t>
  </si>
  <si>
    <t>Panoramic_Sight_1</t>
  </si>
  <si>
    <t>Modern Panoramic Sight</t>
  </si>
  <si>
    <t>Panoramic Sight III</t>
  </si>
  <si>
    <t>Panoramic_Sight_2</t>
  </si>
  <si>
    <t>Crew Situational Awareness System [DONE]</t>
  </si>
  <si>
    <t>Crew Situational Awareness System</t>
  </si>
  <si>
    <t>Crew Situational Awareness</t>
  </si>
  <si>
    <t>Crew_SAS</t>
  </si>
  <si>
    <t>Max Bonus</t>
  </si>
  <si>
    <t>Reliability(%)</t>
  </si>
  <si>
    <t>Hardness(%)</t>
  </si>
  <si>
    <t>Hard Attack</t>
  </si>
  <si>
    <t>Soft Attack</t>
  </si>
  <si>
    <t>Breakthrought</t>
  </si>
  <si>
    <t>Defense</t>
  </si>
  <si>
    <t>Max Speed(km/h)</t>
  </si>
  <si>
    <t>Supply</t>
  </si>
  <si>
    <t>Fuel Usage</t>
  </si>
  <si>
    <t>Production Cost</t>
  </si>
  <si>
    <t>Category</t>
  </si>
  <si>
    <t>Module name</t>
  </si>
  <si>
    <t>Unclocked by Tech</t>
  </si>
  <si>
    <t>Module Loc Name</t>
  </si>
  <si>
    <t>Heavy Tank I</t>
  </si>
  <si>
    <t>4,6</t>
  </si>
  <si>
    <t>Long</t>
  </si>
  <si>
    <t>Piercing, %</t>
  </si>
  <si>
    <t>Entrenchment</t>
  </si>
  <si>
    <t>Air Attack</t>
  </si>
  <si>
    <t>Air Attack, %</t>
  </si>
  <si>
    <t>Heavy Tank II</t>
  </si>
  <si>
    <t>Hulls</t>
  </si>
  <si>
    <t>Heavy Tank III</t>
  </si>
  <si>
    <t>95,5</t>
  </si>
  <si>
    <t>Heavy Tank IV</t>
  </si>
  <si>
    <t>Heavy Tank V</t>
  </si>
  <si>
    <t>WWII Tank 1</t>
  </si>
  <si>
    <t>3,6</t>
  </si>
  <si>
    <t>WWII Tank 2</t>
  </si>
  <si>
    <t>MBT I</t>
  </si>
  <si>
    <t>22,5</t>
  </si>
  <si>
    <t>MBT II</t>
  </si>
  <si>
    <t>MBT III</t>
  </si>
  <si>
    <t>MBT IV</t>
  </si>
  <si>
    <t>MBT V</t>
  </si>
  <si>
    <t>37,5</t>
  </si>
  <si>
    <t>MBT VI</t>
  </si>
  <si>
    <t>M1 Abrams</t>
  </si>
  <si>
    <t>MBT VII</t>
  </si>
  <si>
    <t>MBT VIII</t>
  </si>
  <si>
    <t>Light Tank I</t>
  </si>
  <si>
    <t>1,8</t>
  </si>
  <si>
    <t>Light Tank II</t>
  </si>
  <si>
    <t>12,5</t>
  </si>
  <si>
    <t>Light Tank III</t>
  </si>
  <si>
    <t>Light Tank IV</t>
  </si>
  <si>
    <t>Light Tank V</t>
  </si>
  <si>
    <t>Light Tank VI</t>
  </si>
  <si>
    <t>WWII Mech 1</t>
  </si>
  <si>
    <t>WWII Mech 2</t>
  </si>
  <si>
    <t>Heavy Mech I</t>
  </si>
  <si>
    <t>2,6</t>
  </si>
  <si>
    <t>Heavy Mech II</t>
  </si>
  <si>
    <t>Heavy Mech III</t>
  </si>
  <si>
    <t>Heavy Mech IV</t>
  </si>
  <si>
    <t>Heavy Mech V</t>
  </si>
  <si>
    <t>Heavy Mech VI</t>
  </si>
  <si>
    <t>Heavy Mech VII</t>
  </si>
  <si>
    <t>Heavy Mech VIII</t>
  </si>
  <si>
    <t>Light Mech I</t>
  </si>
  <si>
    <t>Protection</t>
  </si>
  <si>
    <t>Armor [DONE]</t>
  </si>
  <si>
    <t>Welded Armor</t>
  </si>
  <si>
    <t>Base</t>
  </si>
  <si>
    <t>Armor_0_W</t>
  </si>
  <si>
    <t>Light Mech II</t>
  </si>
  <si>
    <t>Cast Armor</t>
  </si>
  <si>
    <t>Armor_0_C</t>
  </si>
  <si>
    <t>Light Mech III</t>
  </si>
  <si>
    <t>Spaced Armor</t>
  </si>
  <si>
    <t>Early Composite Armor</t>
  </si>
  <si>
    <t>Armor_1_Space</t>
  </si>
  <si>
    <t>Light Mech IV</t>
  </si>
  <si>
    <t>Composite Armor I</t>
  </si>
  <si>
    <t>Armor_1_Comp</t>
  </si>
  <si>
    <t>Light Mech V</t>
  </si>
  <si>
    <t>Advanced Composite Armor</t>
  </si>
  <si>
    <t>Composite Armor II</t>
  </si>
  <si>
    <t>Armor_2_Comp</t>
  </si>
  <si>
    <t>Light Mech VI</t>
  </si>
  <si>
    <t>First Generation NERA</t>
  </si>
  <si>
    <t>NERA I</t>
  </si>
  <si>
    <t>Armor_3</t>
  </si>
  <si>
    <t>Light Mech VII</t>
  </si>
  <si>
    <t>Second Generation NERA</t>
  </si>
  <si>
    <t>NERA II</t>
  </si>
  <si>
    <t>Armor_4</t>
  </si>
  <si>
    <t>Light Mech VIII</t>
  </si>
  <si>
    <t>Third Generation NERA</t>
  </si>
  <si>
    <t>NERA III</t>
  </si>
  <si>
    <t>Armor_5</t>
  </si>
  <si>
    <t>Fourth Generation NERA</t>
  </si>
  <si>
    <t>NERA IV</t>
  </si>
  <si>
    <t>Armor_6</t>
  </si>
  <si>
    <t>Second Generation Depleted Uranium NERA</t>
  </si>
  <si>
    <t>DU NERA II</t>
  </si>
  <si>
    <t>Armor_4_DU</t>
  </si>
  <si>
    <t>Third Generation Depleted Uranium NERA</t>
  </si>
  <si>
    <t>DU NERA III</t>
  </si>
  <si>
    <t>Armor_5_DU</t>
  </si>
  <si>
    <t>Fourth Generation Depleted Uranium NERA</t>
  </si>
  <si>
    <t>DU NERA IV</t>
  </si>
  <si>
    <t>Armor_6_DU</t>
  </si>
  <si>
    <t>Early Aluminum Alloy Armor</t>
  </si>
  <si>
    <t>Aluminum Armor I</t>
  </si>
  <si>
    <t>Armor_0_Light</t>
  </si>
  <si>
    <t>Advanced Aluminum Alloy Armor</t>
  </si>
  <si>
    <t>Aluminum Armor II</t>
  </si>
  <si>
    <t>Armor_1_Light</t>
  </si>
  <si>
    <t>Add-on Armor [DONE]</t>
  </si>
  <si>
    <t>Add-On Combined Armor</t>
  </si>
  <si>
    <t>Addon_0_Comb</t>
  </si>
  <si>
    <t>First Generation Add-On NERA</t>
  </si>
  <si>
    <t>Add-On NERA I</t>
  </si>
  <si>
    <t>Addon_1_NERA</t>
  </si>
  <si>
    <t>Second Generation Add-On NERA</t>
  </si>
  <si>
    <t>Add-On NERA II</t>
  </si>
  <si>
    <t>Addon_2_NERA</t>
  </si>
  <si>
    <t>Third Generation Add-On NERA</t>
  </si>
  <si>
    <t>Add-On NERA III</t>
  </si>
  <si>
    <t>Addon_3_NERA</t>
  </si>
  <si>
    <t>Fourth Generation Add-On NERA</t>
  </si>
  <si>
    <t>Add-On NERA IV</t>
  </si>
  <si>
    <t>Addon_4_NERA</t>
  </si>
  <si>
    <t>Light Add-on Composites</t>
  </si>
  <si>
    <t>Add-on Composites I</t>
  </si>
  <si>
    <t>Addon_0_CE</t>
  </si>
  <si>
    <t>Advanced Light Add-on Composites</t>
  </si>
  <si>
    <t>Add-on Composites II</t>
  </si>
  <si>
    <t>Addon_1_CE</t>
  </si>
  <si>
    <t>ERA [DONE]</t>
  </si>
  <si>
    <t>First Generation ERA</t>
  </si>
  <si>
    <t>ERA I</t>
  </si>
  <si>
    <t>ERA_0</t>
  </si>
  <si>
    <t>Second Generation ERA</t>
  </si>
  <si>
    <t>ERA II</t>
  </si>
  <si>
    <t>ERA_1</t>
  </si>
  <si>
    <t>ERA for Light Armored Vehicles</t>
  </si>
  <si>
    <t>LAFV ERA</t>
  </si>
  <si>
    <t>ERA_L</t>
  </si>
  <si>
    <t>Third Generation ERA</t>
  </si>
  <si>
    <t>ERA III</t>
  </si>
  <si>
    <t>ERA_2</t>
  </si>
  <si>
    <t>Fourth Generation ERA</t>
  </si>
  <si>
    <t>ERA IV</t>
  </si>
  <si>
    <t>ERA_3</t>
  </si>
  <si>
    <t>Smoke [DONE]</t>
  </si>
  <si>
    <t>Smoke Grenade Dischargers</t>
  </si>
  <si>
    <t>Smoke Dischargers I</t>
  </si>
  <si>
    <t>Smoke_0</t>
  </si>
  <si>
    <t>Engine Smoke Generator System</t>
  </si>
  <si>
    <t>ESS</t>
  </si>
  <si>
    <t>Smoke_ESS</t>
  </si>
  <si>
    <t>Improved Smoke Grenade Dischargers</t>
  </si>
  <si>
    <t>Smoke Dischargers II</t>
  </si>
  <si>
    <t>Smoke_1</t>
  </si>
  <si>
    <t>IR Smoke Grenade Dischargers</t>
  </si>
  <si>
    <t>Smoke Dischargers III</t>
  </si>
  <si>
    <t>Smoke_2</t>
  </si>
  <si>
    <t>Multi-Spectral Smoke Grenade Dischargers</t>
  </si>
  <si>
    <t>Smoke Dischargers IV</t>
  </si>
  <si>
    <t>Smoke_3</t>
  </si>
  <si>
    <t>Smart Smoke Grenade Dischargers</t>
  </si>
  <si>
    <t>Smoke Dischargers V</t>
  </si>
  <si>
    <t>Smoke_4</t>
  </si>
  <si>
    <t>Active Protection Systems [DONE]</t>
  </si>
  <si>
    <t>Early Hard-Kill Active Protection Systems</t>
  </si>
  <si>
    <t>Hard-Kill APS I</t>
  </si>
  <si>
    <t>APS_0_H</t>
  </si>
  <si>
    <t>Advanced Hard-Kill Active Protection Systems</t>
  </si>
  <si>
    <t>Hard-Kill APS II</t>
  </si>
  <si>
    <t>APS_1_H</t>
  </si>
  <si>
    <t>Modern Hard-Kill Active Protection Systems</t>
  </si>
  <si>
    <t>Hard-Kill APS III</t>
  </si>
  <si>
    <t>APS_2_H</t>
  </si>
  <si>
    <t>Advanced Modern Hard-Kill Active Protection Systems</t>
  </si>
  <si>
    <t>Hard-Kill APS IV</t>
  </si>
  <si>
    <t>APS_3_H</t>
  </si>
  <si>
    <t>Early Soft-Kill Active Protection Systems</t>
  </si>
  <si>
    <t>Soft-Kill APS I</t>
  </si>
  <si>
    <t>APS_0_S</t>
  </si>
  <si>
    <t>Advanced Soft-Kill Active Protection Systems</t>
  </si>
  <si>
    <t>Soft-Kill APS II</t>
  </si>
  <si>
    <t>APS_1_S</t>
  </si>
  <si>
    <t>Fire Fighting Systems [DONE]</t>
  </si>
  <si>
    <t>Semi-Automatic Fire Fighting System</t>
  </si>
  <si>
    <t>FFS I</t>
  </si>
  <si>
    <t>FFS_0</t>
  </si>
  <si>
    <t>Automatic Fire Fighting System</t>
  </si>
  <si>
    <t>FFS II</t>
  </si>
  <si>
    <t>FFS_1</t>
  </si>
  <si>
    <t>Digital Automatic Fire Fighting System</t>
  </si>
  <si>
    <t>FFS III</t>
  </si>
  <si>
    <t>FFS_2</t>
  </si>
  <si>
    <t>FCS &amp; Autoloaders</t>
  </si>
  <si>
    <t>Artillery-Exclusive Autoloaders [DONE]</t>
  </si>
  <si>
    <t>Artillery Mechanised Ammo Rack</t>
  </si>
  <si>
    <t>Mech Ammo Rack I</t>
  </si>
  <si>
    <t>Loader_5a_Arty_Mech</t>
  </si>
  <si>
    <t>Advanced Artillery Mechanised Ammo Rack</t>
  </si>
  <si>
    <t>Mech Ammo Rack II</t>
  </si>
  <si>
    <t>Loader_5b_Arty_Mech</t>
  </si>
  <si>
    <t>Modern Artillery Mechanised Ammo Rack</t>
  </si>
  <si>
    <t>Mech Ammo Rack III</t>
  </si>
  <si>
    <t>Loader_5c_Arty_Mech</t>
  </si>
  <si>
    <t>Aiming SPAAG [DONE]</t>
  </si>
  <si>
    <t>Basic AA Aiming Mechanisms</t>
  </si>
  <si>
    <t>AA Aiming I</t>
  </si>
  <si>
    <t>Aim_AA_0</t>
  </si>
  <si>
    <t>Two-Plane AA Stabilizer</t>
  </si>
  <si>
    <t>AA Aiming II</t>
  </si>
  <si>
    <t>Aim_AA_1</t>
  </si>
  <si>
    <t>Computerised AA Aiming Systems</t>
  </si>
  <si>
    <t>AA Aiming III</t>
  </si>
  <si>
    <t>Aim_AA_2</t>
  </si>
  <si>
    <t>Advanced Computerised AA Aiming Systems</t>
  </si>
  <si>
    <t>AA Aiming IV</t>
  </si>
  <si>
    <t>Aim_AA_3</t>
  </si>
  <si>
    <t>Modern Computerised AA Aiming Systems</t>
  </si>
  <si>
    <t>AA Aiming V</t>
  </si>
  <si>
    <t>Aim_AA_4</t>
  </si>
  <si>
    <t>Artillery Optics [DONE]</t>
  </si>
  <si>
    <t>Artillery Sight</t>
  </si>
  <si>
    <t>Artillery Sight I</t>
  </si>
  <si>
    <t>Arty_Optics_0</t>
  </si>
  <si>
    <t>Muzzle Velocity Radar</t>
  </si>
  <si>
    <t>???</t>
  </si>
  <si>
    <t>Artillery Sight II</t>
  </si>
  <si>
    <t>Arty_Optics_1</t>
  </si>
  <si>
    <t>SPAAG Optics [DONE]</t>
  </si>
  <si>
    <t>Basic AA Optic Sights</t>
  </si>
  <si>
    <t>AA Sight I</t>
  </si>
  <si>
    <t>AA_Optics_0</t>
  </si>
  <si>
    <t>AA sight with laser rangefinder</t>
  </si>
  <si>
    <t>AA Sight II</t>
  </si>
  <si>
    <t>AA_Optics_1</t>
  </si>
  <si>
    <t>To do</t>
  </si>
  <si>
    <t>AA sight with IR tracker</t>
  </si>
  <si>
    <t>AA Sight III</t>
  </si>
  <si>
    <t>AA_Optics_2</t>
  </si>
  <si>
    <t>Tank guns</t>
  </si>
  <si>
    <t>IR/TV &amp; opto-electronic AA sights</t>
  </si>
  <si>
    <t>AA Sight IV</t>
  </si>
  <si>
    <t>AA_Optics_3</t>
  </si>
  <si>
    <t>Tank ammo</t>
  </si>
  <si>
    <t>Modern IR/TV &amp; opto-electronic AA sights</t>
  </si>
  <si>
    <t>Oopsie</t>
  </si>
  <si>
    <t>AA Sight V</t>
  </si>
  <si>
    <t>AA_Optics_4</t>
  </si>
  <si>
    <t>Engines &amp; suspension</t>
  </si>
  <si>
    <t>Advanced modern IR/TV &amp; opto-electronic AA sights</t>
  </si>
  <si>
    <t>AA Sight VI</t>
  </si>
  <si>
    <t>AA_Optics_5</t>
  </si>
  <si>
    <t>Autocannons &amp; ammo</t>
  </si>
  <si>
    <t>Artillery &amp; ammo</t>
  </si>
  <si>
    <t>Decrease speed more with armor?</t>
  </si>
  <si>
    <t>All-capital naming?</t>
  </si>
  <si>
    <t>Computing Artillery [DONE]</t>
  </si>
  <si>
    <t>Artillery Ballistic Computer</t>
  </si>
  <si>
    <t>Artillery Ballistic Computer I</t>
  </si>
  <si>
    <t>Computer_arty_0</t>
  </si>
  <si>
    <t>Early Modern Artillery Ballistic Computer</t>
  </si>
  <si>
    <t>Artillery Ballistic Computer II</t>
  </si>
  <si>
    <t>Computer_arty_1</t>
  </si>
  <si>
    <t>Modern Artillery Ballistic Computer</t>
  </si>
  <si>
    <t>Artillery Ballistic Computer III</t>
  </si>
  <si>
    <t>Computer_arty_2</t>
  </si>
  <si>
    <t>Advanced Modern Artillery Ballistic Computer</t>
  </si>
  <si>
    <t>Artillery Ballistic Computer IV</t>
  </si>
  <si>
    <t>Computer_arty_3</t>
  </si>
  <si>
    <t>Computing SPAAG [DONE]</t>
  </si>
  <si>
    <t>Early Cold War Radar</t>
  </si>
  <si>
    <t>Radar 1960</t>
  </si>
  <si>
    <t>Radar I</t>
  </si>
  <si>
    <t>Radar_0</t>
  </si>
  <si>
    <t>Нужно ли добавить топливо в запас?</t>
  </si>
  <si>
    <t>Mid-Cold War Radar</t>
  </si>
  <si>
    <t>Radar 1970</t>
  </si>
  <si>
    <t>Radar II</t>
  </si>
  <si>
    <t>Radar_1</t>
  </si>
  <si>
    <t>Late Cold War Radar</t>
  </si>
  <si>
    <t>Radar 1980</t>
  </si>
  <si>
    <t>Radar III</t>
  </si>
  <si>
    <t>Radar_2</t>
  </si>
  <si>
    <t>Early Modern Radar</t>
  </si>
  <si>
    <t>Radar 1990</t>
  </si>
  <si>
    <t>Radar IV</t>
  </si>
  <si>
    <t>Radar_3</t>
  </si>
  <si>
    <t>Modern Radar</t>
  </si>
  <si>
    <t>Radar 2000</t>
  </si>
  <si>
    <t>Radar V</t>
  </si>
  <si>
    <t>Radar_4</t>
  </si>
  <si>
    <t>Improved Modern Radar</t>
  </si>
  <si>
    <t>Radar 2010</t>
  </si>
  <si>
    <t>Radar VI</t>
  </si>
  <si>
    <t>Radar_5</t>
  </si>
  <si>
    <t>Advanced Modern Radar</t>
  </si>
  <si>
    <t>Radar 2020</t>
  </si>
  <si>
    <t>Radar VII</t>
  </si>
  <si>
    <t>Radar_6</t>
  </si>
  <si>
    <t>Diesel Engines [DONE]</t>
  </si>
  <si>
    <t>World War II diesel engine</t>
  </si>
  <si>
    <t>WWII Combustion Engines</t>
  </si>
  <si>
    <t>Combustion Engines I</t>
  </si>
  <si>
    <t>Diesel_0</t>
  </si>
  <si>
    <t>Post-war diesel engine</t>
  </si>
  <si>
    <t>Post-WWII Combustion Engines</t>
  </si>
  <si>
    <t>Combustion Engines II</t>
  </si>
  <si>
    <t>Diesel_1</t>
  </si>
  <si>
    <t>Early Cold War diesel engine</t>
  </si>
  <si>
    <t>Early Cold War Combustion Engines</t>
  </si>
  <si>
    <t>Combustion Engines III</t>
  </si>
  <si>
    <t>Diesel_2</t>
  </si>
  <si>
    <t>Mid-Cold War diesel engine</t>
  </si>
  <si>
    <t>Mid-Cold War Combustion Engines</t>
  </si>
  <si>
    <t>Combustion Engines IV</t>
  </si>
  <si>
    <t>Diesel_3</t>
  </si>
  <si>
    <t>Late Cold War diesel engine</t>
  </si>
  <si>
    <t>Late Cold War Combustion Engines</t>
  </si>
  <si>
    <t>Combustion Engines V</t>
  </si>
  <si>
    <t>Diesel_4</t>
  </si>
  <si>
    <t>Modern diesel engine</t>
  </si>
  <si>
    <t>Modern Combustion Engines</t>
  </si>
  <si>
    <t>Combustion Engines VI</t>
  </si>
  <si>
    <t>Diesel_5</t>
  </si>
  <si>
    <t>Hybrid diesel-electric propulsion</t>
  </si>
  <si>
    <t>Hybrid Diesel-Electric Propulsion</t>
  </si>
  <si>
    <t>Combustion Engines VII</t>
  </si>
  <si>
    <t>Diesel_6</t>
  </si>
  <si>
    <t>Petrol Engines [DONE]</t>
  </si>
  <si>
    <t>World War II petrol engine</t>
  </si>
  <si>
    <t>Petrol_0</t>
  </si>
  <si>
    <t>Post-war petrol engine</t>
  </si>
  <si>
    <t>Petrol_1</t>
  </si>
  <si>
    <t>Early Cold War petrol engine</t>
  </si>
  <si>
    <t>Petrol_2</t>
  </si>
  <si>
    <t>Mid-Cold War petrol engine</t>
  </si>
  <si>
    <t>Petrol_3</t>
  </si>
  <si>
    <t>Gas Turbine Engines [DONE]</t>
  </si>
  <si>
    <t>Early Cold War gas turbine engine</t>
  </si>
  <si>
    <t>Early Cold War Gas Turbine Engines</t>
  </si>
  <si>
    <t>Gas Turbine Engines I</t>
  </si>
  <si>
    <t>GT_0</t>
  </si>
  <si>
    <t>Mid-Cold War gas turbine engine</t>
  </si>
  <si>
    <t>Mid-Cold War Gas Turbine Engines</t>
  </si>
  <si>
    <t>Gas Turbine Engines II</t>
  </si>
  <si>
    <t>GT_1</t>
  </si>
  <si>
    <t>Late Cold War gas turbine engine</t>
  </si>
  <si>
    <t>Late Cold War Gas Turbine Engines</t>
  </si>
  <si>
    <t>Gas Turbine Engines III</t>
  </si>
  <si>
    <t>GT_2</t>
  </si>
  <si>
    <t>Modern gas turbine engine</t>
  </si>
  <si>
    <t>Modern Gas Turbine Engines</t>
  </si>
  <si>
    <t>Gas Turbine Engines IV</t>
  </si>
  <si>
    <t>GT_3</t>
  </si>
  <si>
    <t>APU [DONE]</t>
  </si>
  <si>
    <t>World War II auxiliary power unit</t>
  </si>
  <si>
    <t>APU_0</t>
  </si>
  <si>
    <t>Post-war auxiliary power unit</t>
  </si>
  <si>
    <t>APU_1</t>
  </si>
  <si>
    <t>Early Cold War auxiliary power unit</t>
  </si>
  <si>
    <t>APU_2</t>
  </si>
  <si>
    <t>Mid-Cold War auxiliary power unit</t>
  </si>
  <si>
    <t>APU_3</t>
  </si>
  <si>
    <t>Late Cold War auxiliary power unit</t>
  </si>
  <si>
    <t>APU_4</t>
  </si>
  <si>
    <t>Modern auxiliary power unit</t>
  </si>
  <si>
    <t>APU_5</t>
  </si>
  <si>
    <t>Fuel cell auxiliary power unit</t>
  </si>
  <si>
    <t>APU_6</t>
  </si>
  <si>
    <t>Gas Turbine APU [DONE]</t>
  </si>
  <si>
    <t>Early Cold War gas turbine auxiliary power unit</t>
  </si>
  <si>
    <t>GT_APU_0</t>
  </si>
  <si>
    <t>Mid-Cold War gas turbine auxiliary power unit</t>
  </si>
  <si>
    <t>GT_APU_1</t>
  </si>
  <si>
    <t>Late Cold War gas turbine auxiliary power unit</t>
  </si>
  <si>
    <t>GT_APU_2</t>
  </si>
  <si>
    <t>Modern gas turbine auxiliary power unit</t>
  </si>
  <si>
    <t>GT_APU_3</t>
  </si>
  <si>
    <t>Basic Suspension [DONE]</t>
  </si>
  <si>
    <t>4-wheel suspension</t>
  </si>
  <si>
    <t>Wheel_4</t>
  </si>
  <si>
    <t>6-wheel suspension</t>
  </si>
  <si>
    <t>Wheel_6</t>
  </si>
  <si>
    <t>8-wheel suspension</t>
  </si>
  <si>
    <t>Wheel_8</t>
  </si>
  <si>
    <t>Half-track suspension</t>
  </si>
  <si>
    <t>Half_track</t>
  </si>
  <si>
    <t>Bogie suspension</t>
  </si>
  <si>
    <t>Bogie_0</t>
  </si>
  <si>
    <t>Independent internal suspension</t>
  </si>
  <si>
    <t>Independent_internal_0</t>
  </si>
  <si>
    <t>Independent external suspension</t>
  </si>
  <si>
    <t>Independent_external_0</t>
  </si>
  <si>
    <t>Torsion bar suspension</t>
  </si>
  <si>
    <t>Torsion_0</t>
  </si>
  <si>
    <t>Advanced Suspension [DONE]</t>
  </si>
  <si>
    <t>Bogie Suspension With Shock Absorbers</t>
  </si>
  <si>
    <t>Modernized Suspension</t>
  </si>
  <si>
    <t>Bogie_1</t>
  </si>
  <si>
    <t>Independent Internal Suspension With Shock Absorbers</t>
  </si>
  <si>
    <t>Independent_internal_1</t>
  </si>
  <si>
    <t>Independent External Suspension With Shock Absorbers</t>
  </si>
  <si>
    <t>Independent_external_1</t>
  </si>
  <si>
    <t>Torsion Bar Suspension With Shock Absorbers</t>
  </si>
  <si>
    <t>Torsion_1</t>
  </si>
  <si>
    <t>Hydro-Pneumatic Suspension</t>
  </si>
  <si>
    <t>Hydro_pneumatic_0</t>
  </si>
  <si>
    <t>Variable Hydro-Pneumatic Suspension</t>
  </si>
  <si>
    <t>Tracked Hydro-Pneumatic Suspension</t>
  </si>
  <si>
    <t>Hydro_pneumatic_1</t>
  </si>
  <si>
    <t>Active Suspension</t>
  </si>
  <si>
    <t>Tracked Active Suspension</t>
  </si>
  <si>
    <t>Hydro_pneumatic_2</t>
  </si>
  <si>
    <t>Light Tank Guns</t>
  </si>
  <si>
    <t>Light Gun I</t>
  </si>
  <si>
    <t>Light Gun II</t>
  </si>
  <si>
    <t>Light Gun III</t>
  </si>
  <si>
    <t>Light Gun IV</t>
  </si>
  <si>
    <t>Light Gun V</t>
  </si>
  <si>
    <t>Light Gun VI</t>
  </si>
  <si>
    <t>Light Gun VII</t>
  </si>
  <si>
    <t>Light Gun VIII</t>
  </si>
  <si>
    <t>Light Gun IX</t>
  </si>
  <si>
    <t>Light Gun X</t>
  </si>
  <si>
    <t>Medium Tank Guns</t>
  </si>
  <si>
    <t>Medium Gun I</t>
  </si>
  <si>
    <t>tank_medium_cannon0</t>
  </si>
  <si>
    <t>Medium Gun II</t>
  </si>
  <si>
    <t>tank_medium_cannon1</t>
  </si>
  <si>
    <t>Medium Gun III</t>
  </si>
  <si>
    <t>tank_medium_cannon2</t>
  </si>
  <si>
    <t>Medium Gun IV</t>
  </si>
  <si>
    <t>tank_medium_cannon3</t>
  </si>
  <si>
    <t>Early Cold War MBT Smoothbore Gun</t>
  </si>
  <si>
    <t>Early Cold War MBT Gun</t>
  </si>
  <si>
    <t>MBT Smoothbore Gun I</t>
  </si>
  <si>
    <t>tank_smooth_mbt_cannon1</t>
  </si>
  <si>
    <t>Mid-Cold War MBT Smoothbore Gun</t>
  </si>
  <si>
    <t>Mid-Cold War MBT Gun</t>
  </si>
  <si>
    <t>MBT Smoothbore Gun II</t>
  </si>
  <si>
    <t>tank_smooth_mbt_cannon2</t>
  </si>
  <si>
    <t>Late Cold War MBT Smoothbore Gun</t>
  </si>
  <si>
    <t>Late Cold War MBT Gun</t>
  </si>
  <si>
    <t>MBT Smoothbore Gun III</t>
  </si>
  <si>
    <t>tank_smooth_mbt_cannon3</t>
  </si>
  <si>
    <t>Early Modern MBT Smoothbore Gun</t>
  </si>
  <si>
    <t>Early Modern MBT Gun</t>
  </si>
  <si>
    <t>MBT Smoothbore Gun IV</t>
  </si>
  <si>
    <t>tank_smooth_mbt_cannon4</t>
  </si>
  <si>
    <t>Modern MBT Smoothbore Gun</t>
  </si>
  <si>
    <t>Modern MBT Gun</t>
  </si>
  <si>
    <t>MBT Smoothbore Gun V</t>
  </si>
  <si>
    <t>tank_smooth_mbt_cannon5</t>
  </si>
  <si>
    <t>Advanced Modern MBT Smoothbore Gun</t>
  </si>
  <si>
    <t>Advanced Modern MBT Gun</t>
  </si>
  <si>
    <t>MBT Smoothbore Gun VI</t>
  </si>
  <si>
    <t>tank_smooth_mbt_cannon6</t>
  </si>
  <si>
    <t>Early Cold War MBT Rifled Gun</t>
  </si>
  <si>
    <t>MBT Rifled Gun I</t>
  </si>
  <si>
    <t>tank_rifled_mbt_cannon1</t>
  </si>
  <si>
    <t>Mid-Cold War MBT Rifled Gun</t>
  </si>
  <si>
    <t>MBT Rifled Gun II</t>
  </si>
  <si>
    <t>tank_rifled_mbt_cannon2</t>
  </si>
  <si>
    <t>Late Cold War MBT Rifled Gun</t>
  </si>
  <si>
    <t>MBT Rifled Gun III</t>
  </si>
  <si>
    <t>tank_rifled_mbt_cannon3</t>
  </si>
  <si>
    <t>Early Modern MBT Rifled Gun</t>
  </si>
  <si>
    <t>MBT Rifled Gun IV</t>
  </si>
  <si>
    <t>tank_rifled_mbt_cannon4</t>
  </si>
  <si>
    <t>Modern MBT Rifled Gun</t>
  </si>
  <si>
    <t>MBT Rifled Gun V</t>
  </si>
  <si>
    <t>tank_rifled_mbt_cannon5</t>
  </si>
  <si>
    <t>Advanced Modern MBT Rifled Gun</t>
  </si>
  <si>
    <t>MBT Rifled Gun VI</t>
  </si>
  <si>
    <t>tank_rifled_mbt_cannon6</t>
  </si>
  <si>
    <t>Heavy Tank Guns</t>
  </si>
  <si>
    <t>Heavy Gun I</t>
  </si>
  <si>
    <t>tank_heavy_cannon0</t>
  </si>
  <si>
    <t>Heavy Gun II</t>
  </si>
  <si>
    <t>tank_heavy_cannon1</t>
  </si>
  <si>
    <t>Heavy Gun III</t>
  </si>
  <si>
    <t>tank_heavy_cannon2</t>
  </si>
  <si>
    <t>Heavy Gun IV</t>
  </si>
  <si>
    <t>tank_heavy_cannon3</t>
  </si>
  <si>
    <t>Super Heavy Gun</t>
  </si>
  <si>
    <t>Super-Heavy Gun I</t>
  </si>
  <si>
    <t>tank_super_heavy_cannon</t>
  </si>
  <si>
    <t>tank_atgm_launcher_cannon</t>
  </si>
  <si>
    <t>Heavy MBT Guns</t>
  </si>
  <si>
    <t>Heavy MBT Gun I</t>
  </si>
  <si>
    <t>tank_mbt_heavy_cannon0</t>
  </si>
  <si>
    <t>Heavy MBT Gun II</t>
  </si>
  <si>
    <t>tank_mbt_heavy_cannon1</t>
  </si>
  <si>
    <t>Heavy MBT Gun III</t>
  </si>
  <si>
    <t>tank_mbt_heavy_cannon2</t>
  </si>
  <si>
    <t>Low-Pressure Gun I</t>
  </si>
  <si>
    <t>tank_low_p_cannon0</t>
  </si>
  <si>
    <t>Low-Pressure Gun II</t>
  </si>
  <si>
    <t>tank_low_p_cannon1</t>
  </si>
  <si>
    <t>Low-Pressure Gun III</t>
  </si>
  <si>
    <t>tank_low_p_cannon2</t>
  </si>
  <si>
    <t>Low-Pressure Gun IV</t>
  </si>
  <si>
    <t>tank_low_p_cannon3</t>
  </si>
  <si>
    <t>Primary Tank Ammo</t>
  </si>
  <si>
    <t>Armor Piercing</t>
  </si>
  <si>
    <t>AP Ammunition</t>
  </si>
  <si>
    <t>AP Ammo I</t>
  </si>
  <si>
    <t>ap_0</t>
  </si>
  <si>
    <t>APCR Ammunition</t>
  </si>
  <si>
    <t>AP Ammo II</t>
  </si>
  <si>
    <t>ap_1</t>
  </si>
  <si>
    <t>APDS Ammunition</t>
  </si>
  <si>
    <t>AP Ammo III</t>
  </si>
  <si>
    <t>ap_2</t>
  </si>
  <si>
    <t>APFSDS Ammunition</t>
  </si>
  <si>
    <t>AP Ammo IV</t>
  </si>
  <si>
    <t>ap_3</t>
  </si>
  <si>
    <t>Elongated APFSDS Ammunition</t>
  </si>
  <si>
    <t>AP Ammo V</t>
  </si>
  <si>
    <t>ap_4</t>
  </si>
  <si>
    <t>Advanced APFSDS Ammunition</t>
  </si>
  <si>
    <t>AP Ammo VI</t>
  </si>
  <si>
    <t>ap_5</t>
  </si>
  <si>
    <t>Early Modern APFSDS Ammunition</t>
  </si>
  <si>
    <t>AP Ammo VII</t>
  </si>
  <si>
    <t>ap_6</t>
  </si>
  <si>
    <t>Modern APFSDS Ammunition</t>
  </si>
  <si>
    <t>AP Ammo VIII</t>
  </si>
  <si>
    <t>ap_7</t>
  </si>
  <si>
    <t>Advanced Modern APFSDS Ammunition</t>
  </si>
  <si>
    <t>AP Ammo IX</t>
  </si>
  <si>
    <t>ap_8</t>
  </si>
  <si>
    <t>Armor Piercing DU</t>
  </si>
  <si>
    <t>Advanced DU APFSDS Ammunition</t>
  </si>
  <si>
    <t>AP DU Ammo I</t>
  </si>
  <si>
    <t>ap_du_1</t>
  </si>
  <si>
    <t>Early Modern DU APFSDS Ammunition</t>
  </si>
  <si>
    <t>AP DU Ammo II</t>
  </si>
  <si>
    <t>ap_du_2</t>
  </si>
  <si>
    <t>Modern DU APFSDS Ammunition</t>
  </si>
  <si>
    <t>AP DU Ammo III</t>
  </si>
  <si>
    <t>ap_du_3</t>
  </si>
  <si>
    <t>Advanced Modern DU APFSDS Ammunition</t>
  </si>
  <si>
    <t>AP DU Ammo IV</t>
  </si>
  <si>
    <t>ap_du_4</t>
  </si>
  <si>
    <t>HEAT</t>
  </si>
  <si>
    <t>WWII HEAT Ammunition</t>
  </si>
  <si>
    <t>Mid-WWII HEAT Ammunition</t>
  </si>
  <si>
    <t>HEAT Ammo I</t>
  </si>
  <si>
    <t>heat_0</t>
  </si>
  <si>
    <t>Post-WWII HEAT Ammunition</t>
  </si>
  <si>
    <t>HEAT Ammo II</t>
  </si>
  <si>
    <t>heat_1</t>
  </si>
  <si>
    <t>Early Cold War HEAT Ammunition</t>
  </si>
  <si>
    <t>HEAT Ammo III</t>
  </si>
  <si>
    <t>heat_2</t>
  </si>
  <si>
    <t>Mid-Cold War HEAT Ammunition</t>
  </si>
  <si>
    <t>HEAT Ammo IV</t>
  </si>
  <si>
    <t>heat_3</t>
  </si>
  <si>
    <t>Late Cold War HEAT Ammunition</t>
  </si>
  <si>
    <t>HEAT Ammo V</t>
  </si>
  <si>
    <t>heat_4</t>
  </si>
  <si>
    <t>Early Modern HEAT Ammunition</t>
  </si>
  <si>
    <t>HEAT Ammo VI</t>
  </si>
  <si>
    <t>heat_5</t>
  </si>
  <si>
    <t>Modern HEAT Ammunition</t>
  </si>
  <si>
    <t>HEAT Ammo VII</t>
  </si>
  <si>
    <t>heat_6</t>
  </si>
  <si>
    <t>HEAT DU</t>
  </si>
  <si>
    <t>Late Cold War DU HEAT Ammunition</t>
  </si>
  <si>
    <t>DU HEAT Ammo I</t>
  </si>
  <si>
    <t>heat_du_1</t>
  </si>
  <si>
    <t>Early Modern DU HEAT Ammunition</t>
  </si>
  <si>
    <t>DU HEAT Ammo II</t>
  </si>
  <si>
    <t>heat_du_2</t>
  </si>
  <si>
    <t>Modern DU HEAT Ammunition</t>
  </si>
  <si>
    <t>DU HEAT Ammo III</t>
  </si>
  <si>
    <t>heat_du_3</t>
  </si>
  <si>
    <t>HEAT MP</t>
  </si>
  <si>
    <t>Late Cold War HEAT-MP Ammunition</t>
  </si>
  <si>
    <t>HEAT-MP Ammo I</t>
  </si>
  <si>
    <t>heat_mp_1</t>
  </si>
  <si>
    <t>Early Modern HEAT-MP Ammunition</t>
  </si>
  <si>
    <t>HEAT-MP Ammo II</t>
  </si>
  <si>
    <t>heat_mp_2</t>
  </si>
  <si>
    <t>Modern HEAT-MP Ammunition</t>
  </si>
  <si>
    <t>HEAT-MP Ammo III</t>
  </si>
  <si>
    <t>heat_mp_3</t>
  </si>
  <si>
    <t>HESH</t>
  </si>
  <si>
    <t>HESH Ammunition</t>
  </si>
  <si>
    <t>HESH Ammo I</t>
  </si>
  <si>
    <t>hesh_1</t>
  </si>
  <si>
    <t>GL ATGM</t>
  </si>
  <si>
    <t>Early Cold War ATGM Ammunition</t>
  </si>
  <si>
    <t>ATGM 1965</t>
  </si>
  <si>
    <t>GL ATGM Ammo I</t>
  </si>
  <si>
    <t>atgm_0</t>
  </si>
  <si>
    <t>Mid-Cold War ATGM Ammunition</t>
  </si>
  <si>
    <t>ATGM 1975</t>
  </si>
  <si>
    <t>GL ATGM Ammo II</t>
  </si>
  <si>
    <t>atgm_1</t>
  </si>
  <si>
    <t>Late Cold War ATGM Ammunition</t>
  </si>
  <si>
    <t>ATGM 1985</t>
  </si>
  <si>
    <t>GL ATGM Ammo III</t>
  </si>
  <si>
    <t>atgm_2</t>
  </si>
  <si>
    <t>Early Modern ATGM Ammunition</t>
  </si>
  <si>
    <t>ATGM 1995</t>
  </si>
  <si>
    <t>GL ATGM Ammo IV</t>
  </si>
  <si>
    <t>atgm_3</t>
  </si>
  <si>
    <t>HE</t>
  </si>
  <si>
    <t>WWII HE Ammunition</t>
  </si>
  <si>
    <t>HE Ammo I</t>
  </si>
  <si>
    <t>he_0</t>
  </si>
  <si>
    <t>Post-WWII HE Ammunition</t>
  </si>
  <si>
    <t>HE Ammo II</t>
  </si>
  <si>
    <t>he_1</t>
  </si>
  <si>
    <t>Mid-Cold War HE Ammunition</t>
  </si>
  <si>
    <t>HE Ammo III</t>
  </si>
  <si>
    <t>he_2</t>
  </si>
  <si>
    <t>Late Cold War HE Ammunition</t>
  </si>
  <si>
    <t>HE Ammo IV</t>
  </si>
  <si>
    <t>he_3</t>
  </si>
  <si>
    <t>Modern HE Ammunition</t>
  </si>
  <si>
    <t>HE Ammo V</t>
  </si>
  <si>
    <t>he_4</t>
  </si>
  <si>
    <t>Secondary Tank Ammo</t>
  </si>
  <si>
    <t>Special Tank Ammo</t>
  </si>
  <si>
    <t>Riveted Armor</t>
  </si>
  <si>
    <t>Armor_0_R</t>
  </si>
  <si>
    <t>Armor_7_Light</t>
  </si>
  <si>
    <t>Armor_8_Light</t>
  </si>
  <si>
    <t>Add-On Armor [DONE]</t>
  </si>
  <si>
    <t>ERA_1_L</t>
  </si>
  <si>
    <t>ap_0p</t>
  </si>
  <si>
    <t>ap_1p</t>
  </si>
  <si>
    <t>ap_2p</t>
  </si>
  <si>
    <t>ap_3p</t>
  </si>
  <si>
    <t>ap_4p</t>
  </si>
  <si>
    <t>ap_5p</t>
  </si>
  <si>
    <t>ap_6p</t>
  </si>
  <si>
    <t>ap_7p</t>
  </si>
  <si>
    <t>ap_8p</t>
  </si>
  <si>
    <t>ap_du_1p</t>
  </si>
  <si>
    <t>ap_du_2p</t>
  </si>
  <si>
    <t>ap_du_3p</t>
  </si>
  <si>
    <t>ap_du_4p</t>
  </si>
  <si>
    <t>heat_0p</t>
  </si>
  <si>
    <t>heat_1p</t>
  </si>
  <si>
    <t>heat_2p</t>
  </si>
  <si>
    <t>heat_3p</t>
  </si>
  <si>
    <t>heat_4p</t>
  </si>
  <si>
    <t>heat_5p</t>
  </si>
  <si>
    <t>heat_6p</t>
  </si>
  <si>
    <t>heat_du_1p</t>
  </si>
  <si>
    <t>heat_du_2p</t>
  </si>
  <si>
    <t>heat_du_3p</t>
  </si>
  <si>
    <t>heat_mp_1p</t>
  </si>
  <si>
    <t>heat_mp_2p</t>
  </si>
  <si>
    <t>heat_mp_3p</t>
  </si>
  <si>
    <t>hesh_p</t>
  </si>
  <si>
    <t>gl_atgm_0p</t>
  </si>
  <si>
    <t>gl_atgm_1p</t>
  </si>
  <si>
    <t>gl_atgm_2p</t>
  </si>
  <si>
    <t>gl_atgm_3p</t>
  </si>
  <si>
    <t>tank_he_0p</t>
  </si>
  <si>
    <t>tank_he_1p</t>
  </si>
  <si>
    <t>tank_he_2p</t>
  </si>
  <si>
    <t>tank_he_3p</t>
  </si>
  <si>
    <t>tank_he_4p</t>
  </si>
  <si>
    <t>Heavy ATGM</t>
  </si>
  <si>
    <t>Early Cold War Heavy ATGM Ammunition</t>
  </si>
  <si>
    <t>Heavy ATGM Ammo I</t>
  </si>
  <si>
    <t>h_atgm_0</t>
  </si>
  <si>
    <t>Mid-Cold War Heavy ATGM Ammunition</t>
  </si>
  <si>
    <t>Heavy ATGM Ammo II</t>
  </si>
  <si>
    <t>h_atgm_1</t>
  </si>
  <si>
    <t>Late Cold War Heavy ATGM Ammunition</t>
  </si>
  <si>
    <t>Heavy ATGM Ammo III</t>
  </si>
  <si>
    <t>h_atgm_2</t>
  </si>
  <si>
    <t>Early Modern Heavy ATGM Ammunition</t>
  </si>
  <si>
    <t>Heavy ATGM Ammo IV</t>
  </si>
  <si>
    <t>h_atgm_3</t>
  </si>
  <si>
    <t>Modern Heavy ATGM Ammunition</t>
  </si>
  <si>
    <t>ATGM 2005</t>
  </si>
  <si>
    <t>Heavy ATGM Ammo V</t>
  </si>
  <si>
    <t>h_atgm_4</t>
  </si>
  <si>
    <t>ATGM Mount</t>
  </si>
  <si>
    <t>AP Ammunition (Secondary)</t>
  </si>
  <si>
    <t>APCR Ammunition (Secondary)</t>
  </si>
  <si>
    <t>APDS Ammunition (Secondary)</t>
  </si>
  <si>
    <t>APFSDS Ammunition (Secondary)</t>
  </si>
  <si>
    <t>Elongated APFSDS Ammunition (Secondary)</t>
  </si>
  <si>
    <t>Advanced APFSDS Ammunition (Secondary)</t>
  </si>
  <si>
    <t>Early Modern APFSDS Ammunition (Secondary)</t>
  </si>
  <si>
    <t>Modern APFSDS Ammunition (Secondary)</t>
  </si>
  <si>
    <t>Advanced Modern APFSDS Ammunition (Secondary)</t>
  </si>
  <si>
    <t>Advanced DU APFSDS Ammunition (Secondary)</t>
  </si>
  <si>
    <t>Early Modern DU APFSDS Ammunition (Secondary)</t>
  </si>
  <si>
    <t>Modern DU APFSDS Ammunition (Secondary)</t>
  </si>
  <si>
    <t>Advanced Modern DU APFSDS Ammunition (Secondary)</t>
  </si>
  <si>
    <t>WWII HEAT Ammunition (Secondary)</t>
  </si>
  <si>
    <t>Post-WWII HEAT Ammunition (Secondary)</t>
  </si>
  <si>
    <t>Early Cold War HEAT Ammunition (Secondary)</t>
  </si>
  <si>
    <t>Mid-Cold War HEAT Ammunition (Secondary)</t>
  </si>
  <si>
    <t>Late Cold War HEAT Ammunition (Secondary)</t>
  </si>
  <si>
    <t>Early Modern HEAT Ammunition (Secondary)</t>
  </si>
  <si>
    <t>Modern HEAT Ammunition (Secondary)</t>
  </si>
  <si>
    <t>Special Ammo</t>
  </si>
  <si>
    <t>ATGS</t>
  </si>
  <si>
    <t>Early Modern ATGS Ammunition</t>
  </si>
  <si>
    <t>Modern ATGS Ammunition</t>
  </si>
  <si>
    <t>Advanced Modern ATGS Ammunition</t>
  </si>
  <si>
    <t>External ATGM Launcher</t>
  </si>
  <si>
    <t>Early Cold War ATGM Launcher</t>
  </si>
  <si>
    <t>Mid-Cold War ATGM Launcher</t>
  </si>
  <si>
    <t>Late Cold War ATGM Launcher</t>
  </si>
  <si>
    <t>Early Modern ATGM Launcher</t>
  </si>
  <si>
    <t>Modern External ATGM Launcher</t>
  </si>
  <si>
    <t>Advanced Modern ATGM Launcher</t>
  </si>
  <si>
    <t>Autocannons</t>
  </si>
  <si>
    <t>WWII Light Autocannon</t>
  </si>
  <si>
    <t>Mid-Cold War Light Autocannon</t>
  </si>
  <si>
    <t>Late Cold War Light Autocannon</t>
  </si>
  <si>
    <t>Modern Light Autocannon</t>
  </si>
  <si>
    <t>Advanced Modern Light Autocannon</t>
  </si>
  <si>
    <t>Late Cold War Heavy Autocannon</t>
  </si>
  <si>
    <t>Modern Heavy Autocannon</t>
  </si>
  <si>
    <t>Advanced Modern Heavy Autocannon</t>
  </si>
  <si>
    <t>Light AA</t>
  </si>
  <si>
    <t>AA HMG</t>
  </si>
  <si>
    <t>1x Light AA Gun</t>
  </si>
  <si>
    <t>2x Light AA Gun</t>
  </si>
  <si>
    <t>4x Light AA Gun</t>
  </si>
  <si>
    <t>Heavy AA</t>
  </si>
  <si>
    <t>1x Heavy AA Gun</t>
  </si>
  <si>
    <t>2x Heavy AA Gun</t>
  </si>
  <si>
    <t xml:space="preserve">Naval Gun </t>
  </si>
  <si>
    <t>Naval AA Gun</t>
  </si>
  <si>
    <t>Primary Autocannon Ammo</t>
  </si>
  <si>
    <t>AP</t>
  </si>
  <si>
    <t>APCR</t>
  </si>
  <si>
    <t>APDS</t>
  </si>
  <si>
    <t>APDS+</t>
  </si>
  <si>
    <t>APFSDS</t>
  </si>
  <si>
    <t>HEI</t>
  </si>
  <si>
    <t>HEVT</t>
  </si>
  <si>
    <t>HEAB</t>
  </si>
  <si>
    <t>HEAB+</t>
  </si>
  <si>
    <t>Secondary Autocannon Ammo</t>
  </si>
  <si>
    <t>Primary AA Ammo</t>
  </si>
  <si>
    <t>Secondary AA Ammo</t>
  </si>
  <si>
    <t>Special AA Ammo</t>
  </si>
  <si>
    <t>MANPADS</t>
  </si>
  <si>
    <t>SAM</t>
  </si>
  <si>
    <t>Light Artillery</t>
  </si>
  <si>
    <t>Medium Artillery</t>
  </si>
  <si>
    <t>Heavy Artillery</t>
  </si>
  <si>
    <t>Primary Artillery Ammo</t>
  </si>
  <si>
    <t>HERA</t>
  </si>
  <si>
    <t>HEBB</t>
  </si>
  <si>
    <t>Secondary Artillery Ammo</t>
  </si>
  <si>
    <t>ATCM</t>
  </si>
  <si>
    <t>Special Artillery Ammo</t>
  </si>
  <si>
    <t>Correctible</t>
  </si>
  <si>
    <t>SPAAG</t>
  </si>
  <si>
    <t>SP L</t>
  </si>
  <si>
    <t>SP M</t>
  </si>
  <si>
    <t>SP H</t>
  </si>
  <si>
    <t>AT</t>
  </si>
  <si>
    <t>Soft</t>
  </si>
  <si>
    <t>Hard</t>
  </si>
  <si>
    <t>Brk</t>
  </si>
  <si>
    <t>Def</t>
  </si>
  <si>
    <t>1935-1940</t>
  </si>
  <si>
    <t>1950-1955</t>
  </si>
  <si>
    <t>поменять</t>
  </si>
  <si>
    <t>1965-1970</t>
  </si>
  <si>
    <t>1980-1985</t>
  </si>
  <si>
    <t>1995-2000</t>
  </si>
  <si>
    <t>VANILA</t>
  </si>
  <si>
    <t>Cost</t>
  </si>
  <si>
    <t>Speed %</t>
  </si>
  <si>
    <t>Armor %</t>
  </si>
  <si>
    <t>Reliab. %</t>
  </si>
  <si>
    <t>prod cost</t>
  </si>
  <si>
    <t>Fuel</t>
  </si>
  <si>
    <t xml:space="preserve">Armor per lvl </t>
  </si>
  <si>
    <t xml:space="preserve">Engine per lvl </t>
  </si>
  <si>
    <t>---</t>
  </si>
  <si>
    <t>max Armor</t>
  </si>
  <si>
    <t>max Engine</t>
  </si>
  <si>
    <t>MOD</t>
  </si>
  <si>
    <t>Cost min</t>
  </si>
  <si>
    <t>Cost max</t>
  </si>
  <si>
    <t>Iterations</t>
  </si>
  <si>
    <t>Tech</t>
  </si>
  <si>
    <t>Production</t>
  </si>
  <si>
    <t>Country</t>
  </si>
  <si>
    <t>Tank</t>
  </si>
  <si>
    <t>Hull</t>
  </si>
  <si>
    <t>Turret</t>
  </si>
  <si>
    <t>Avg</t>
  </si>
  <si>
    <t>RHA</t>
  </si>
  <si>
    <t>USSR</t>
  </si>
  <si>
    <t>US</t>
  </si>
  <si>
    <t>France</t>
  </si>
  <si>
    <t>Germany</t>
  </si>
  <si>
    <t>T-34</t>
  </si>
  <si>
    <t>M3</t>
  </si>
  <si>
    <t>Pz.Kpfw III</t>
  </si>
  <si>
    <t>Cost proportions (Modern)</t>
  </si>
  <si>
    <t>T-34-85</t>
  </si>
  <si>
    <t>Pz.Kpfw IV</t>
  </si>
  <si>
    <t>50 - 80</t>
  </si>
  <si>
    <t xml:space="preserve">Gun </t>
  </si>
  <si>
    <t>M4</t>
  </si>
  <si>
    <t>Pz.Kpfw V</t>
  </si>
  <si>
    <t>T-62</t>
  </si>
  <si>
    <t>Add-on armor</t>
  </si>
  <si>
    <t>T-64</t>
  </si>
  <si>
    <t>Comp I (1955)</t>
  </si>
  <si>
    <t>Light add-on</t>
  </si>
  <si>
    <t>Suspension</t>
  </si>
  <si>
    <t>T-44</t>
  </si>
  <si>
    <t>M26/M46</t>
  </si>
  <si>
    <t>T-64A</t>
  </si>
  <si>
    <t>Comp II (1965)</t>
  </si>
  <si>
    <t>Engine</t>
  </si>
  <si>
    <t>T-64B</t>
  </si>
  <si>
    <t>ERA</t>
  </si>
  <si>
    <t>FCS</t>
  </si>
  <si>
    <t>T-54</t>
  </si>
  <si>
    <t>M47/M48</t>
  </si>
  <si>
    <t>Smoke</t>
  </si>
  <si>
    <t>T-72</t>
  </si>
  <si>
    <t>APS &amp; other</t>
  </si>
  <si>
    <t>M60</t>
  </si>
  <si>
    <t>AMX-30</t>
  </si>
  <si>
    <t>Leopard 1</t>
  </si>
  <si>
    <t>T-72A</t>
  </si>
  <si>
    <t>HK APS</t>
  </si>
  <si>
    <t>T-72B</t>
  </si>
  <si>
    <t>SK APS</t>
  </si>
  <si>
    <t>Cost proportions (60s)</t>
  </si>
  <si>
    <t>MBT-70</t>
  </si>
  <si>
    <t>T-80U</t>
  </si>
  <si>
    <t>NERA II (1985)</t>
  </si>
  <si>
    <t>FFS</t>
  </si>
  <si>
    <t>T-72B1 m.1984</t>
  </si>
  <si>
    <t>T-80</t>
  </si>
  <si>
    <t>Autoloader</t>
  </si>
  <si>
    <t>M1</t>
  </si>
  <si>
    <t>USA</t>
  </si>
  <si>
    <t>Mech ammo arty</t>
  </si>
  <si>
    <t>M1A1</t>
  </si>
  <si>
    <t>M1A1 HA</t>
  </si>
  <si>
    <t>1970s</t>
  </si>
  <si>
    <t>Spaced (1955)</t>
  </si>
  <si>
    <t>Aiming</t>
  </si>
  <si>
    <t>NERA I (1975)</t>
  </si>
  <si>
    <t>Aiming AA</t>
  </si>
  <si>
    <t>=()/2</t>
  </si>
  <si>
    <t>Optics</t>
  </si>
  <si>
    <t>M1A1 HC</t>
  </si>
  <si>
    <t>Optics AA</t>
  </si>
  <si>
    <t>M1A2</t>
  </si>
  <si>
    <t>Optics Arty</t>
  </si>
  <si>
    <t xml:space="preserve">Panoramic </t>
  </si>
  <si>
    <t>WGR</t>
  </si>
  <si>
    <t>Computer</t>
  </si>
  <si>
    <t>Computer Arty</t>
  </si>
  <si>
    <t>Radar</t>
  </si>
  <si>
    <t>KPz-70</t>
  </si>
  <si>
    <t>Diesel Engine</t>
  </si>
  <si>
    <t>Leopard 2A1</t>
  </si>
  <si>
    <t>Petrol Engine</t>
  </si>
  <si>
    <t>Leopard 2A4</t>
  </si>
  <si>
    <t>Gas Turbine</t>
  </si>
  <si>
    <t>Leopard 2A5</t>
  </si>
  <si>
    <t>NERA III (1995)</t>
  </si>
  <si>
    <t>Leopard 2A7+</t>
  </si>
  <si>
    <t>NERA IV (2010)</t>
  </si>
  <si>
    <t>APU</t>
  </si>
  <si>
    <t>GT APU</t>
  </si>
  <si>
    <t>Medium 1939</t>
  </si>
  <si>
    <t>Medium 1942</t>
  </si>
  <si>
    <t>Medium 1944</t>
  </si>
  <si>
    <t>Medium 1950</t>
  </si>
  <si>
    <t>MBT 1960</t>
  </si>
  <si>
    <t>MBT 1970</t>
  </si>
  <si>
    <t>MBT 1980</t>
  </si>
  <si>
    <t>MBT 1990</t>
  </si>
  <si>
    <t>MBT 2005</t>
  </si>
  <si>
    <t>MBT 2015</t>
  </si>
  <si>
    <t>HMBT 1985</t>
  </si>
  <si>
    <t>HMBT 1995</t>
  </si>
  <si>
    <t>HMBT 2010</t>
  </si>
  <si>
    <t>AP 1939</t>
  </si>
  <si>
    <t>Heavy 1942</t>
  </si>
  <si>
    <t>Heavy 1944</t>
  </si>
  <si>
    <t>Heavy 1950</t>
  </si>
  <si>
    <t>Heavy 1955</t>
  </si>
  <si>
    <t>SH 1955</t>
  </si>
  <si>
    <t>APCR 1942</t>
  </si>
  <si>
    <t>APDS 1950</t>
  </si>
  <si>
    <t>APFSDS 1960</t>
  </si>
  <si>
    <t>APFSDS 1970</t>
  </si>
  <si>
    <t>APFSDS 1980</t>
  </si>
  <si>
    <t>APFSDS 1990</t>
  </si>
  <si>
    <t>APFSDS 2000</t>
  </si>
  <si>
    <t>&gt;700</t>
  </si>
  <si>
    <t>APFSDS 2015</t>
  </si>
  <si>
    <t>12,5%</t>
  </si>
  <si>
    <t>17,5%</t>
  </si>
  <si>
    <t>22,5%</t>
  </si>
  <si>
    <t>112,5</t>
  </si>
  <si>
    <t>T-54 (200mm)</t>
  </si>
  <si>
    <t>DU</t>
  </si>
  <si>
    <t>HEAT 1942</t>
  </si>
  <si>
    <t>HEAT 1950</t>
  </si>
  <si>
    <t>HEAT 1960</t>
  </si>
  <si>
    <t>HEAT 1970</t>
  </si>
  <si>
    <t>HEAT 1980</t>
  </si>
  <si>
    <t>HEAT 1990</t>
  </si>
  <si>
    <t>HEAT 2000</t>
  </si>
  <si>
    <t>HEAT-DU 1985</t>
  </si>
  <si>
    <t>HEAT-DU 1995</t>
  </si>
  <si>
    <t>HEAT-DU 2005</t>
  </si>
  <si>
    <t>HEAT-MP 1985</t>
  </si>
  <si>
    <t>HEAT-MP 1995</t>
  </si>
  <si>
    <t>HEAT-MP 2005</t>
  </si>
  <si>
    <t>НОВАЯ ТАБЛИЦА</t>
  </si>
  <si>
    <t>55-58</t>
  </si>
  <si>
    <t>77-95</t>
  </si>
  <si>
    <t>123-170</t>
  </si>
  <si>
    <t>126-155</t>
  </si>
  <si>
    <t>222-245</t>
  </si>
  <si>
    <t>186-284</t>
  </si>
  <si>
    <t>265-280</t>
  </si>
  <si>
    <t>202-270</t>
  </si>
  <si>
    <t>390-430</t>
  </si>
  <si>
    <t>430-460</t>
  </si>
  <si>
    <t>400-440</t>
  </si>
  <si>
    <t>470-490</t>
  </si>
  <si>
    <t>640-650</t>
  </si>
  <si>
    <t>650-740</t>
  </si>
  <si>
    <t>850-1000</t>
  </si>
  <si>
    <t>390?</t>
  </si>
  <si>
    <t>Light 1939</t>
  </si>
  <si>
    <t>Light 1942</t>
  </si>
  <si>
    <t>Light 1944</t>
  </si>
  <si>
    <t>Light 1950</t>
  </si>
  <si>
    <t>Light 1960</t>
  </si>
  <si>
    <t>Light 1970</t>
  </si>
  <si>
    <t>Light 1980</t>
  </si>
  <si>
    <t>Light 1990</t>
  </si>
  <si>
    <t>Light 2005</t>
  </si>
  <si>
    <t>Light 2015</t>
  </si>
  <si>
    <t>30-35</t>
  </si>
  <si>
    <t>49-68</t>
  </si>
  <si>
    <t>84-89</t>
  </si>
  <si>
    <t>65-116</t>
  </si>
  <si>
    <t>78-103</t>
  </si>
  <si>
    <t>260 (343-440 DU)</t>
  </si>
  <si>
    <t>306-390 (486-650 DU)</t>
  </si>
  <si>
    <t>200-280</t>
  </si>
  <si>
    <t>254-300</t>
  </si>
  <si>
    <t>LPG 1950</t>
  </si>
  <si>
    <t>LPG 1960</t>
  </si>
  <si>
    <t>LPG 1970</t>
  </si>
  <si>
    <t>LPG 1990</t>
  </si>
  <si>
    <t>GL 1960</t>
  </si>
  <si>
    <t>431-600</t>
  </si>
  <si>
    <t>600-700</t>
  </si>
  <si>
    <t>300-350</t>
  </si>
  <si>
    <t>250-320</t>
  </si>
  <si>
    <t>650-700</t>
  </si>
  <si>
    <t>450-550</t>
  </si>
  <si>
    <t>ATGM Launcher</t>
  </si>
  <si>
    <t>Light AC 1960</t>
  </si>
  <si>
    <t>Light AC 1980</t>
  </si>
  <si>
    <t>Light AC 2000</t>
  </si>
  <si>
    <t>Light AC 2020</t>
  </si>
  <si>
    <t>Heavy 1980</t>
  </si>
  <si>
    <t>Heavy 2000</t>
  </si>
  <si>
    <t>Heavy 2020</t>
  </si>
  <si>
    <t>15-20</t>
  </si>
  <si>
    <t>29-33</t>
  </si>
  <si>
    <t>APCR 1960</t>
  </si>
  <si>
    <t>APDS 1970</t>
  </si>
  <si>
    <t>APDS 1980</t>
  </si>
  <si>
    <t>70-80</t>
  </si>
  <si>
    <t>116-140</t>
  </si>
  <si>
    <t>138-170</t>
  </si>
  <si>
    <t>160-220</t>
  </si>
  <si>
    <t>Light 2000</t>
  </si>
  <si>
    <t>Light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</si>
</sst>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242424"/>
      <name val="Calibri"/>
      <family val="2"/>
      <charset val="1"/>
    </font>
    <font>
      <sz val="10"/>
      <color theme="1"/>
      <name val="Arial"/>
      <charset val="1"/>
    </font>
    <font>
      <b/>
      <sz val="10"/>
      <color theme="1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/>
    <xf numFmtId="0" fontId="0" fillId="2" borderId="0" xfId="0" applyFill="1"/>
    <xf numFmtId="0" fontId="4" fillId="2" borderId="0" xfId="0" applyFont="1" applyFill="1"/>
    <xf numFmtId="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9" fontId="4" fillId="0" borderId="0" xfId="0" applyNumberFormat="1" applyFont="1" applyAlignment="1">
      <alignment horizontal="right"/>
    </xf>
    <xf numFmtId="9" fontId="0" fillId="2" borderId="0" xfId="0" applyNumberFormat="1" applyFill="1" applyAlignment="1">
      <alignment horizontal="right"/>
    </xf>
    <xf numFmtId="0" fontId="6" fillId="0" borderId="0" xfId="0" applyFont="1"/>
    <xf numFmtId="9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3" borderId="0" xfId="0" applyFont="1" applyFill="1" applyAlignment="1">
      <alignment horizontal="right"/>
    </xf>
    <xf numFmtId="0" fontId="0" fillId="3" borderId="0" xfId="0" applyFill="1"/>
    <xf numFmtId="0" fontId="0" fillId="4" borderId="0" xfId="0" applyFill="1"/>
    <xf numFmtId="0" fontId="6" fillId="3" borderId="0" xfId="0" applyFont="1" applyFill="1"/>
    <xf numFmtId="0" fontId="7" fillId="0" borderId="0" xfId="0" applyFont="1"/>
    <xf numFmtId="0" fontId="0" fillId="5" borderId="0" xfId="0" applyFill="1" applyAlignment="1">
      <alignment horizontal="center" vertical="center"/>
    </xf>
    <xf numFmtId="0" fontId="0" fillId="5" borderId="0" xfId="0" applyFill="1"/>
    <xf numFmtId="0" fontId="6" fillId="5" borderId="0" xfId="0" applyFont="1" applyFill="1"/>
    <xf numFmtId="9" fontId="6" fillId="0" borderId="0" xfId="0" applyNumberFormat="1" applyFont="1"/>
    <xf numFmtId="9" fontId="0" fillId="0" borderId="0" xfId="0" applyNumberFormat="1"/>
    <xf numFmtId="164" fontId="0" fillId="0" borderId="0" xfId="0" applyNumberFormat="1"/>
    <xf numFmtId="0" fontId="6" fillId="2" borderId="0" xfId="0" applyFont="1" applyFill="1"/>
    <xf numFmtId="0" fontId="6" fillId="0" borderId="0" xfId="0" applyFont="1" applyAlignment="1">
      <alignment wrapText="1"/>
    </xf>
    <xf numFmtId="0" fontId="6" fillId="4" borderId="0" xfId="0" applyFont="1" applyFill="1"/>
    <xf numFmtId="9" fontId="8" fillId="0" borderId="0" xfId="0" applyNumberFormat="1" applyFont="1"/>
    <xf numFmtId="9" fontId="6" fillId="0" borderId="0" xfId="0" applyNumberFormat="1" applyFont="1" applyAlignment="1">
      <alignment wrapText="1"/>
    </xf>
    <xf numFmtId="0" fontId="8" fillId="0" borderId="0" xfId="0" applyFont="1"/>
    <xf numFmtId="0" fontId="8" fillId="4" borderId="0" xfId="0" applyFont="1" applyFill="1"/>
    <xf numFmtId="0" fontId="9" fillId="0" borderId="0" xfId="0" applyFont="1" applyAlignment="1">
      <alignment vertical="center"/>
    </xf>
    <xf numFmtId="9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4" fontId="6" fillId="0" borderId="0" xfId="0" applyNumberFormat="1" applyFont="1"/>
    <xf numFmtId="0" fontId="10" fillId="0" borderId="0" xfId="0" applyFont="1" applyAlignment="1">
      <alignment vertical="center"/>
    </xf>
    <xf numFmtId="0" fontId="0" fillId="6" borderId="0" xfId="0" applyFill="1"/>
    <xf numFmtId="9" fontId="0" fillId="6" borderId="0" xfId="0" applyNumberFormat="1" applyFill="1"/>
    <xf numFmtId="0" fontId="11" fillId="0" borderId="0" xfId="0" applyFont="1" applyAlignment="1">
      <alignment readingOrder="1"/>
    </xf>
    <xf numFmtId="0" fontId="11" fillId="3" borderId="0" xfId="0" applyFont="1" applyFill="1" applyAlignment="1">
      <alignment readingOrder="1"/>
    </xf>
    <xf numFmtId="0" fontId="12" fillId="0" borderId="0" xfId="0" applyFont="1" applyAlignment="1">
      <alignment horizontal="center" readingOrder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8" borderId="0" xfId="0" applyFill="1"/>
    <xf numFmtId="0" fontId="3" fillId="0" borderId="0" xfId="0" applyFont="1" applyAlignment="1">
      <alignment vertical="center"/>
    </xf>
    <xf numFmtId="164" fontId="4" fillId="0" borderId="0" xfId="0" applyNumberFormat="1" applyFont="1" applyAlignment="1">
      <alignment horizontal="right"/>
    </xf>
    <xf numFmtId="0" fontId="6" fillId="0" borderId="0" xfId="0" applyFont="1" applyFill="1"/>
    <xf numFmtId="0" fontId="0" fillId="0" borderId="0" xfId="0" applyFill="1"/>
    <xf numFmtId="0" fontId="0" fillId="0" borderId="1" xfId="0" applyBorder="1" applyAlignment="1">
      <alignment horizontal="center"/>
    </xf>
    <xf numFmtId="0" fontId="6" fillId="0" borderId="0" xfId="0" applyFont="1" applyFill="1" applyAlignment="1">
      <alignment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NumberFormat="1"/>
    <xf numFmtId="0" fontId="0" fillId="0" borderId="0" xfId="0" applyFont="1" applyFill="1"/>
    <xf numFmtId="10" fontId="0" fillId="0" borderId="0" xfId="0" applyNumberFormat="1"/>
    <xf numFmtId="165" fontId="0" fillId="0" borderId="0" xfId="0" applyNumberFormat="1"/>
    <xf numFmtId="0" fontId="0" fillId="0" borderId="0" xfId="0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0" fontId="0" fillId="0" borderId="7" xfId="0" applyBorder="1" applyAlignment="1">
      <alignment horizontal="center" vertical="center"/>
    </xf>
    <xf numFmtId="0" fontId="0" fillId="9" borderId="0" xfId="0" applyFill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DBD4-EFE3-48FF-8952-63B5008D3774}">
  <dimension ref="A1:B19"/>
  <sheetViews>
    <sheetView workbookViewId="0">
      <selection activeCell="B2" sqref="B2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1939</v>
      </c>
      <c r="B2">
        <v>1</v>
      </c>
    </row>
    <row r="3" spans="1:2">
      <c r="A3">
        <v>1942</v>
      </c>
      <c r="B3">
        <v>2</v>
      </c>
    </row>
    <row r="4" spans="1:2">
      <c r="A4">
        <v>1944</v>
      </c>
      <c r="B4">
        <v>3</v>
      </c>
    </row>
    <row r="5" spans="1:2">
      <c r="A5">
        <v>1950</v>
      </c>
      <c r="B5">
        <v>4</v>
      </c>
    </row>
    <row r="6" spans="1:2">
      <c r="A6">
        <v>1955</v>
      </c>
      <c r="B6">
        <v>5</v>
      </c>
    </row>
    <row r="7" spans="1:2">
      <c r="A7">
        <v>1960</v>
      </c>
      <c r="B7">
        <v>6</v>
      </c>
    </row>
    <row r="8" spans="1:2">
      <c r="A8">
        <v>1965</v>
      </c>
      <c r="B8">
        <v>7</v>
      </c>
    </row>
    <row r="9" spans="1:2">
      <c r="A9">
        <v>1970</v>
      </c>
      <c r="B9">
        <v>8</v>
      </c>
    </row>
    <row r="10" spans="1:2">
      <c r="A10">
        <v>1975</v>
      </c>
      <c r="B10">
        <v>9</v>
      </c>
    </row>
    <row r="11" spans="1:2">
      <c r="A11">
        <v>1980</v>
      </c>
      <c r="B11">
        <v>10</v>
      </c>
    </row>
    <row r="12" spans="1:2">
      <c r="A12">
        <v>1985</v>
      </c>
      <c r="B12">
        <v>11</v>
      </c>
    </row>
    <row r="13" spans="1:2">
      <c r="A13">
        <v>1990</v>
      </c>
      <c r="B13">
        <v>12</v>
      </c>
    </row>
    <row r="14" spans="1:2">
      <c r="A14">
        <v>1995</v>
      </c>
      <c r="B14">
        <v>13</v>
      </c>
    </row>
    <row r="15" spans="1:2">
      <c r="A15">
        <v>2000</v>
      </c>
      <c r="B15">
        <v>14</v>
      </c>
    </row>
    <row r="16" spans="1:2">
      <c r="A16">
        <v>2005</v>
      </c>
      <c r="B16">
        <v>15</v>
      </c>
    </row>
    <row r="17" spans="1:2">
      <c r="A17">
        <v>2010</v>
      </c>
      <c r="B17">
        <v>16</v>
      </c>
    </row>
    <row r="18" spans="1:2">
      <c r="A18">
        <v>2015</v>
      </c>
      <c r="B18">
        <v>17</v>
      </c>
    </row>
    <row r="19" spans="1:2">
      <c r="A19">
        <v>2020</v>
      </c>
      <c r="B19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BAE9-3EC3-4438-A717-9B749D26007E}">
  <dimension ref="A1:H30"/>
  <sheetViews>
    <sheetView zoomScale="130" zoomScaleNormal="130" workbookViewId="0">
      <selection activeCell="F11" sqref="F11"/>
    </sheetView>
  </sheetViews>
  <sheetFormatPr defaultRowHeight="15"/>
  <cols>
    <col min="3" max="3" width="22.85546875" bestFit="1" customWidth="1"/>
    <col min="4" max="4" width="30.5703125" bestFit="1" customWidth="1"/>
    <col min="5" max="5" width="6.5703125" bestFit="1" customWidth="1"/>
    <col min="6" max="6" width="10" bestFit="1" customWidth="1"/>
    <col min="7" max="7" width="6.5703125" bestFit="1" customWidth="1"/>
    <col min="8" max="8" width="14.85546875" bestFit="1" customWidth="1"/>
  </cols>
  <sheetData>
    <row r="1" spans="1:8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>
      <c r="A2" s="3" t="s">
        <v>10</v>
      </c>
      <c r="B2">
        <v>1939</v>
      </c>
      <c r="C2" s="1" t="s">
        <v>11</v>
      </c>
      <c r="D2" t="s">
        <v>12</v>
      </c>
      <c r="E2">
        <f>E13+1</f>
        <v>5</v>
      </c>
    </row>
    <row r="3" spans="1:8">
      <c r="A3" s="3"/>
      <c r="B3">
        <v>1942</v>
      </c>
      <c r="C3" s="1" t="s">
        <v>13</v>
      </c>
      <c r="D3" t="s">
        <v>14</v>
      </c>
      <c r="E3">
        <f t="shared" ref="E2:E11" si="0">E14+1</f>
        <v>5</v>
      </c>
    </row>
    <row r="4" spans="1:8">
      <c r="A4" s="3"/>
      <c r="B4">
        <v>1944</v>
      </c>
      <c r="C4" s="1" t="s">
        <v>15</v>
      </c>
      <c r="D4" t="s">
        <v>16</v>
      </c>
      <c r="E4">
        <f t="shared" si="0"/>
        <v>5</v>
      </c>
    </row>
    <row r="5" spans="1:8">
      <c r="A5" s="3"/>
      <c r="B5">
        <v>1950</v>
      </c>
      <c r="C5" s="1" t="s">
        <v>17</v>
      </c>
      <c r="D5" t="s">
        <v>18</v>
      </c>
      <c r="E5">
        <f t="shared" si="0"/>
        <v>6</v>
      </c>
    </row>
    <row r="6" spans="1:8">
      <c r="A6" s="3"/>
      <c r="B6">
        <v>1960</v>
      </c>
      <c r="C6" s="1" t="s">
        <v>19</v>
      </c>
      <c r="D6" s="7" t="s">
        <v>20</v>
      </c>
      <c r="E6">
        <f t="shared" si="0"/>
        <v>6</v>
      </c>
    </row>
    <row r="7" spans="1:8">
      <c r="A7" s="3"/>
      <c r="B7">
        <v>1970</v>
      </c>
      <c r="C7" s="1" t="s">
        <v>21</v>
      </c>
      <c r="D7" s="7" t="s">
        <v>22</v>
      </c>
      <c r="E7">
        <f t="shared" si="0"/>
        <v>6</v>
      </c>
    </row>
    <row r="8" spans="1:8">
      <c r="A8" s="3"/>
      <c r="B8">
        <v>1980</v>
      </c>
      <c r="C8" s="1" t="s">
        <v>23</v>
      </c>
      <c r="D8" s="7" t="s">
        <v>24</v>
      </c>
      <c r="E8">
        <f t="shared" si="0"/>
        <v>6</v>
      </c>
    </row>
    <row r="9" spans="1:8">
      <c r="A9" s="3"/>
      <c r="B9">
        <v>1990</v>
      </c>
      <c r="C9" s="1" t="s">
        <v>25</v>
      </c>
      <c r="D9" t="s">
        <v>26</v>
      </c>
      <c r="E9">
        <f t="shared" si="0"/>
        <v>7</v>
      </c>
    </row>
    <row r="10" spans="1:8">
      <c r="A10" s="3"/>
      <c r="B10">
        <v>2000</v>
      </c>
      <c r="C10" s="1" t="s">
        <v>27</v>
      </c>
      <c r="D10" t="s">
        <v>28</v>
      </c>
      <c r="E10">
        <f t="shared" si="0"/>
        <v>7</v>
      </c>
    </row>
    <row r="11" spans="1:8">
      <c r="A11" s="3"/>
      <c r="B11">
        <v>2020</v>
      </c>
      <c r="C11" s="1" t="s">
        <v>29</v>
      </c>
      <c r="D11" t="s">
        <v>30</v>
      </c>
      <c r="E11">
        <f t="shared" si="0"/>
        <v>7</v>
      </c>
    </row>
    <row r="12" spans="1:8">
      <c r="A12" s="3"/>
      <c r="C12" s="1"/>
    </row>
    <row r="13" spans="1:8">
      <c r="A13" s="4" t="s">
        <v>31</v>
      </c>
      <c r="B13">
        <v>1939</v>
      </c>
      <c r="C13" s="1" t="s">
        <v>32</v>
      </c>
      <c r="D13" t="s">
        <v>33</v>
      </c>
      <c r="E13">
        <v>4</v>
      </c>
    </row>
    <row r="14" spans="1:8">
      <c r="A14" s="4"/>
      <c r="B14">
        <v>1942</v>
      </c>
      <c r="C14" s="1" t="s">
        <v>34</v>
      </c>
      <c r="D14" t="s">
        <v>35</v>
      </c>
      <c r="E14">
        <v>4</v>
      </c>
    </row>
    <row r="15" spans="1:8">
      <c r="A15" s="4"/>
      <c r="B15">
        <v>1944</v>
      </c>
      <c r="C15" s="1" t="s">
        <v>36</v>
      </c>
      <c r="D15" t="s">
        <v>37</v>
      </c>
      <c r="E15">
        <v>4</v>
      </c>
    </row>
    <row r="16" spans="1:8">
      <c r="A16" s="4"/>
      <c r="B16">
        <v>1950</v>
      </c>
      <c r="C16" s="1" t="s">
        <v>38</v>
      </c>
      <c r="D16" t="s">
        <v>39</v>
      </c>
      <c r="E16">
        <v>5</v>
      </c>
    </row>
    <row r="17" spans="1:5">
      <c r="A17" s="4"/>
      <c r="B17">
        <v>1960</v>
      </c>
      <c r="C17" s="1" t="s">
        <v>40</v>
      </c>
      <c r="D17" s="7" t="s">
        <v>41</v>
      </c>
      <c r="E17">
        <v>5</v>
      </c>
    </row>
    <row r="18" spans="1:5">
      <c r="A18" s="4"/>
      <c r="B18">
        <v>1970</v>
      </c>
      <c r="C18" s="1" t="s">
        <v>42</v>
      </c>
      <c r="D18" s="7" t="s">
        <v>43</v>
      </c>
      <c r="E18">
        <v>5</v>
      </c>
    </row>
    <row r="19" spans="1:5">
      <c r="A19" s="4"/>
      <c r="B19">
        <v>1980</v>
      </c>
      <c r="C19" s="1" t="s">
        <v>44</v>
      </c>
      <c r="D19" s="7" t="s">
        <v>45</v>
      </c>
      <c r="E19">
        <v>5</v>
      </c>
    </row>
    <row r="20" spans="1:5">
      <c r="A20" s="4"/>
      <c r="B20">
        <v>1990</v>
      </c>
      <c r="C20" s="1" t="s">
        <v>46</v>
      </c>
      <c r="D20" s="7" t="s">
        <v>47</v>
      </c>
      <c r="E20">
        <v>6</v>
      </c>
    </row>
    <row r="21" spans="1:5">
      <c r="A21" s="4"/>
      <c r="B21">
        <v>2010</v>
      </c>
      <c r="C21" s="1" t="s">
        <v>48</v>
      </c>
      <c r="D21" s="7" t="s">
        <v>49</v>
      </c>
      <c r="E21">
        <v>6</v>
      </c>
    </row>
    <row r="22" spans="1:5">
      <c r="A22" s="4"/>
      <c r="B22">
        <v>2020</v>
      </c>
      <c r="C22" s="1" t="s">
        <v>50</v>
      </c>
      <c r="D22" s="7" t="s">
        <v>51</v>
      </c>
      <c r="E22">
        <v>6</v>
      </c>
    </row>
    <row r="23" spans="1:5">
      <c r="A23" s="4"/>
      <c r="C23" s="1"/>
      <c r="D23" s="7"/>
    </row>
    <row r="24" spans="1:5">
      <c r="A24" s="4" t="s">
        <v>52</v>
      </c>
      <c r="B24">
        <v>1939</v>
      </c>
      <c r="C24" s="1" t="s">
        <v>53</v>
      </c>
      <c r="D24" t="s">
        <v>54</v>
      </c>
      <c r="E24">
        <f>E13-1</f>
        <v>3</v>
      </c>
    </row>
    <row r="25" spans="1:5">
      <c r="A25" s="4"/>
      <c r="B25">
        <v>1942</v>
      </c>
      <c r="C25" s="1" t="s">
        <v>55</v>
      </c>
      <c r="D25" t="s">
        <v>56</v>
      </c>
      <c r="E25">
        <f t="shared" ref="E25:E27" si="1">E14-1</f>
        <v>3</v>
      </c>
    </row>
    <row r="26" spans="1:5">
      <c r="A26" s="4"/>
      <c r="B26">
        <v>1944</v>
      </c>
      <c r="C26" s="1" t="s">
        <v>57</v>
      </c>
      <c r="D26" t="s">
        <v>58</v>
      </c>
      <c r="E26">
        <f t="shared" si="1"/>
        <v>3</v>
      </c>
    </row>
    <row r="27" spans="1:5">
      <c r="A27" s="4"/>
      <c r="B27">
        <v>1950</v>
      </c>
      <c r="C27" s="1" t="s">
        <v>59</v>
      </c>
      <c r="D27" s="7" t="s">
        <v>60</v>
      </c>
      <c r="E27">
        <f t="shared" si="1"/>
        <v>4</v>
      </c>
    </row>
    <row r="28" spans="1:5">
      <c r="A28" s="4"/>
      <c r="B28">
        <v>1955</v>
      </c>
      <c r="C28" s="1" t="s">
        <v>61</v>
      </c>
      <c r="D28" s="7" t="s">
        <v>62</v>
      </c>
      <c r="E28">
        <v>5</v>
      </c>
    </row>
    <row r="29" spans="1:5">
      <c r="A29" s="4"/>
      <c r="C29" s="1"/>
    </row>
    <row r="30" spans="1:5">
      <c r="A30" s="4"/>
      <c r="C30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85A7C-453A-446B-99A8-046ABA3FE9AA}">
  <dimension ref="A1:E24"/>
  <sheetViews>
    <sheetView tabSelected="1" topLeftCell="B1" workbookViewId="0">
      <selection activeCell="I11" sqref="I11"/>
    </sheetView>
  </sheetViews>
  <sheetFormatPr defaultRowHeight="15"/>
  <cols>
    <col min="1" max="1" width="14.7109375" customWidth="1"/>
    <col min="2" max="2" width="19.5703125" customWidth="1"/>
    <col min="4" max="4" width="13.42578125" customWidth="1"/>
    <col min="5" max="5" width="23.85546875" customWidth="1"/>
  </cols>
  <sheetData>
    <row r="1" spans="1:5">
      <c r="A1" s="6" t="s">
        <v>2</v>
      </c>
      <c r="B1" s="2" t="s">
        <v>5</v>
      </c>
      <c r="D1" s="6" t="s">
        <v>63</v>
      </c>
      <c r="E1" s="2" t="s">
        <v>5</v>
      </c>
    </row>
    <row r="2" spans="1:5">
      <c r="A2" s="71" t="s">
        <v>64</v>
      </c>
      <c r="B2" t="s">
        <v>65</v>
      </c>
      <c r="D2" s="71" t="s">
        <v>66</v>
      </c>
      <c r="E2" t="s">
        <v>65</v>
      </c>
    </row>
    <row r="3" spans="1:5">
      <c r="A3" s="71"/>
      <c r="B3" t="s">
        <v>67</v>
      </c>
      <c r="D3" s="71"/>
      <c r="E3" t="s">
        <v>68</v>
      </c>
    </row>
    <row r="4" spans="1:5">
      <c r="A4" s="71"/>
      <c r="B4" t="s">
        <v>68</v>
      </c>
      <c r="D4" s="71"/>
      <c r="E4" s="5" t="s">
        <v>69</v>
      </c>
    </row>
    <row r="5" spans="1:5">
      <c r="A5" s="71"/>
      <c r="B5" t="s">
        <v>70</v>
      </c>
      <c r="D5" s="71"/>
      <c r="E5" s="5" t="s">
        <v>71</v>
      </c>
    </row>
    <row r="6" spans="1:5">
      <c r="A6" s="71" t="s">
        <v>8</v>
      </c>
      <c r="B6" s="5" t="s">
        <v>69</v>
      </c>
      <c r="D6" s="71"/>
      <c r="E6" s="5" t="s">
        <v>72</v>
      </c>
    </row>
    <row r="7" spans="1:5">
      <c r="A7" s="71"/>
      <c r="B7" s="5" t="s">
        <v>73</v>
      </c>
      <c r="D7" s="71"/>
      <c r="E7" s="5" t="s">
        <v>74</v>
      </c>
    </row>
    <row r="8" spans="1:5">
      <c r="A8" s="71"/>
      <c r="B8" s="5" t="s">
        <v>75</v>
      </c>
      <c r="D8" s="71"/>
      <c r="E8" s="5" t="s">
        <v>76</v>
      </c>
    </row>
    <row r="9" spans="1:5">
      <c r="A9" s="71" t="s">
        <v>77</v>
      </c>
      <c r="B9" s="5" t="s">
        <v>78</v>
      </c>
      <c r="D9" s="71"/>
      <c r="E9" s="5" t="s">
        <v>79</v>
      </c>
    </row>
    <row r="10" spans="1:5">
      <c r="A10" s="71"/>
      <c r="B10" s="5" t="s">
        <v>80</v>
      </c>
      <c r="D10" s="71"/>
      <c r="E10" s="22" t="s">
        <v>80</v>
      </c>
    </row>
    <row r="11" spans="1:5">
      <c r="A11" s="71"/>
      <c r="B11" s="5" t="s">
        <v>81</v>
      </c>
      <c r="D11" s="71" t="s">
        <v>82</v>
      </c>
      <c r="E11" t="s">
        <v>67</v>
      </c>
    </row>
    <row r="12" spans="1:5">
      <c r="A12" s="71" t="s">
        <v>83</v>
      </c>
      <c r="B12" s="5" t="s">
        <v>84</v>
      </c>
      <c r="D12" s="71"/>
      <c r="E12" t="s">
        <v>70</v>
      </c>
    </row>
    <row r="13" spans="1:5">
      <c r="A13" s="71"/>
      <c r="B13" s="5" t="s">
        <v>85</v>
      </c>
      <c r="D13" s="71"/>
      <c r="E13" s="5" t="s">
        <v>73</v>
      </c>
    </row>
    <row r="14" spans="1:5">
      <c r="A14" s="71"/>
      <c r="B14" s="5" t="s">
        <v>86</v>
      </c>
      <c r="D14" s="71"/>
      <c r="E14" s="5" t="s">
        <v>87</v>
      </c>
    </row>
    <row r="15" spans="1:5">
      <c r="A15" s="71" t="s">
        <v>88</v>
      </c>
      <c r="B15" s="5" t="s">
        <v>79</v>
      </c>
      <c r="D15" s="71"/>
      <c r="E15" s="5" t="s">
        <v>89</v>
      </c>
    </row>
    <row r="16" spans="1:5">
      <c r="A16" s="71"/>
      <c r="B16" t="s">
        <v>90</v>
      </c>
      <c r="D16" s="71"/>
      <c r="E16" s="5" t="s">
        <v>91</v>
      </c>
    </row>
    <row r="17" spans="4:5">
      <c r="D17" s="71"/>
      <c r="E17" s="5" t="s">
        <v>92</v>
      </c>
    </row>
    <row r="18" spans="4:5">
      <c r="D18" s="71"/>
      <c r="E18" t="s">
        <v>90</v>
      </c>
    </row>
    <row r="19" spans="4:5">
      <c r="D19" s="71"/>
      <c r="E19" s="5" t="s">
        <v>81</v>
      </c>
    </row>
    <row r="20" spans="4:5">
      <c r="D20" s="71" t="s">
        <v>93</v>
      </c>
      <c r="E20" s="5" t="s">
        <v>75</v>
      </c>
    </row>
    <row r="21" spans="4:5">
      <c r="D21" s="71"/>
      <c r="E21" s="5" t="s">
        <v>94</v>
      </c>
    </row>
    <row r="22" spans="4:5">
      <c r="D22" s="71"/>
      <c r="E22" s="5" t="s">
        <v>95</v>
      </c>
    </row>
    <row r="23" spans="4:5">
      <c r="D23" s="71"/>
      <c r="E23" s="5" t="s">
        <v>96</v>
      </c>
    </row>
    <row r="24" spans="4:5">
      <c r="D24" s="71"/>
      <c r="E24" s="5" t="s">
        <v>97</v>
      </c>
    </row>
  </sheetData>
  <mergeCells count="8">
    <mergeCell ref="D2:D10"/>
    <mergeCell ref="D11:D19"/>
    <mergeCell ref="D20:D24"/>
    <mergeCell ref="A12:A14"/>
    <mergeCell ref="A15:A16"/>
    <mergeCell ref="A2:A5"/>
    <mergeCell ref="A9:A11"/>
    <mergeCell ref="A6:A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88434-5652-443C-99B4-9C2DABBDA4B7}">
  <dimension ref="A1:M26"/>
  <sheetViews>
    <sheetView zoomScale="160" zoomScaleNormal="160" workbookViewId="0">
      <selection activeCell="H23" sqref="H23"/>
    </sheetView>
  </sheetViews>
  <sheetFormatPr defaultRowHeight="15"/>
  <cols>
    <col min="2" max="2" width="14.85546875" bestFit="1" customWidth="1"/>
    <col min="3" max="3" width="18.85546875" customWidth="1"/>
    <col min="4" max="4" width="10.7109375" bestFit="1" customWidth="1"/>
    <col min="6" max="6" width="10.7109375" bestFit="1" customWidth="1"/>
    <col min="9" max="9" width="12.28515625" customWidth="1"/>
    <col min="12" max="12" width="13.5703125" customWidth="1"/>
  </cols>
  <sheetData>
    <row r="1" spans="1:13">
      <c r="A1" s="69" t="s">
        <v>2</v>
      </c>
      <c r="B1" s="69" t="s">
        <v>98</v>
      </c>
      <c r="C1" s="69" t="s">
        <v>99</v>
      </c>
      <c r="D1" s="69" t="s">
        <v>100</v>
      </c>
      <c r="E1" s="69" t="s">
        <v>101</v>
      </c>
      <c r="F1" s="69" t="s">
        <v>102</v>
      </c>
      <c r="G1" s="69" t="s">
        <v>103</v>
      </c>
      <c r="H1" s="69" t="s">
        <v>104</v>
      </c>
      <c r="I1" s="69" t="s">
        <v>105</v>
      </c>
      <c r="J1" s="69" t="s">
        <v>106</v>
      </c>
      <c r="K1" s="69" t="s">
        <v>107</v>
      </c>
      <c r="L1" s="69" t="s">
        <v>108</v>
      </c>
      <c r="M1" s="69"/>
    </row>
    <row r="2" spans="1:13">
      <c r="A2" s="71" t="s">
        <v>109</v>
      </c>
      <c r="B2" s="71" t="s">
        <v>110</v>
      </c>
      <c r="C2" s="5" t="s">
        <v>65</v>
      </c>
    </row>
    <row r="3" spans="1:13">
      <c r="A3" s="71"/>
      <c r="B3" s="71"/>
      <c r="C3" s="5" t="s">
        <v>67</v>
      </c>
    </row>
    <row r="4" spans="1:13">
      <c r="A4" s="71"/>
      <c r="B4" s="71"/>
      <c r="C4" s="5" t="s">
        <v>68</v>
      </c>
    </row>
    <row r="5" spans="1:13">
      <c r="A5" s="71"/>
      <c r="B5" s="71"/>
      <c r="C5" s="5" t="s">
        <v>70</v>
      </c>
    </row>
    <row r="6" spans="1:13">
      <c r="A6" s="71"/>
      <c r="B6" s="71" t="s">
        <v>8</v>
      </c>
      <c r="C6" s="5" t="s">
        <v>69</v>
      </c>
    </row>
    <row r="7" spans="1:13">
      <c r="A7" s="71"/>
      <c r="B7" s="71"/>
      <c r="C7" s="5" t="s">
        <v>73</v>
      </c>
    </row>
    <row r="8" spans="1:13">
      <c r="A8" s="71"/>
      <c r="B8" s="71"/>
      <c r="C8" s="5" t="s">
        <v>75</v>
      </c>
    </row>
    <row r="9" spans="1:13">
      <c r="A9" s="71" t="s">
        <v>111</v>
      </c>
      <c r="B9" s="71" t="s">
        <v>112</v>
      </c>
      <c r="C9" t="s">
        <v>113</v>
      </c>
    </row>
    <row r="10" spans="1:13">
      <c r="A10" s="71"/>
      <c r="B10" s="71"/>
      <c r="C10" t="s">
        <v>114</v>
      </c>
    </row>
    <row r="11" spans="1:13">
      <c r="A11" s="71"/>
      <c r="B11" s="71"/>
      <c r="C11" t="s">
        <v>115</v>
      </c>
    </row>
    <row r="12" spans="1:13">
      <c r="A12" s="71"/>
      <c r="B12" s="71"/>
      <c r="C12" t="s">
        <v>116</v>
      </c>
    </row>
    <row r="13" spans="1:13">
      <c r="A13" s="71"/>
      <c r="B13" s="71"/>
      <c r="C13" t="s">
        <v>117</v>
      </c>
    </row>
    <row r="14" spans="1:13">
      <c r="A14" s="71"/>
      <c r="B14" s="71" t="s">
        <v>83</v>
      </c>
      <c r="C14" t="s">
        <v>84</v>
      </c>
    </row>
    <row r="15" spans="1:13">
      <c r="A15" s="71"/>
      <c r="B15" s="71"/>
      <c r="C15" t="s">
        <v>85</v>
      </c>
    </row>
    <row r="16" spans="1:13">
      <c r="A16" s="71"/>
      <c r="B16" s="71"/>
      <c r="C16" t="s">
        <v>86</v>
      </c>
    </row>
    <row r="17" spans="1:12">
      <c r="A17" s="71"/>
      <c r="B17" s="71" t="s">
        <v>88</v>
      </c>
      <c r="C17" s="5" t="s">
        <v>118</v>
      </c>
      <c r="L17">
        <v>0</v>
      </c>
    </row>
    <row r="18" spans="1:12">
      <c r="A18" s="71"/>
      <c r="B18" s="71"/>
      <c r="C18" s="5" t="s">
        <v>119</v>
      </c>
      <c r="L18">
        <v>0</v>
      </c>
    </row>
    <row r="19" spans="1:12">
      <c r="A19" s="71"/>
      <c r="B19" s="71" t="s">
        <v>77</v>
      </c>
      <c r="C19" s="5" t="s">
        <v>78</v>
      </c>
      <c r="L19">
        <v>0</v>
      </c>
    </row>
    <row r="20" spans="1:12">
      <c r="A20" s="71"/>
      <c r="B20" s="71"/>
      <c r="C20" s="5" t="s">
        <v>80</v>
      </c>
      <c r="L20">
        <v>0</v>
      </c>
    </row>
    <row r="21" spans="1:12">
      <c r="A21" s="71"/>
      <c r="B21" s="71"/>
      <c r="C21" t="s">
        <v>81</v>
      </c>
      <c r="L21">
        <v>0</v>
      </c>
    </row>
    <row r="22" spans="1:12">
      <c r="A22" s="71" t="s">
        <v>120</v>
      </c>
    </row>
    <row r="23" spans="1:12">
      <c r="A23" s="71"/>
    </row>
    <row r="24" spans="1:12">
      <c r="A24" s="71"/>
    </row>
    <row r="25" spans="1:12">
      <c r="A25" s="71"/>
    </row>
    <row r="26" spans="1:12">
      <c r="A26" s="71"/>
    </row>
  </sheetData>
  <mergeCells count="9">
    <mergeCell ref="A22:A26"/>
    <mergeCell ref="B17:B18"/>
    <mergeCell ref="B6:B8"/>
    <mergeCell ref="B2:B5"/>
    <mergeCell ref="A2:A8"/>
    <mergeCell ref="B14:B16"/>
    <mergeCell ref="B9:B13"/>
    <mergeCell ref="B19:B21"/>
    <mergeCell ref="A9:A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5E69D-B29F-4541-A2AC-BCA14F7FD2D1}">
  <dimension ref="A1:M56"/>
  <sheetViews>
    <sheetView zoomScale="115" zoomScaleNormal="115" workbookViewId="0">
      <selection activeCell="L7" sqref="L7:L12"/>
    </sheetView>
  </sheetViews>
  <sheetFormatPr defaultRowHeight="15"/>
  <cols>
    <col min="1" max="1" width="12.7109375" customWidth="1"/>
    <col min="2" max="2" width="20.28515625" customWidth="1"/>
    <col min="3" max="3" width="9.7109375" customWidth="1"/>
    <col min="4" max="4" width="30.28515625" bestFit="1" customWidth="1"/>
    <col min="5" max="5" width="12.7109375" bestFit="1" customWidth="1"/>
    <col min="6" max="6" width="36.42578125" customWidth="1"/>
    <col min="8" max="9" width="10.7109375" customWidth="1"/>
    <col min="11" max="11" width="14.7109375" customWidth="1"/>
    <col min="12" max="12" width="10.140625" customWidth="1"/>
  </cols>
  <sheetData>
    <row r="1" spans="1:13">
      <c r="A1" s="74" t="s">
        <v>2</v>
      </c>
      <c r="B1" s="74"/>
      <c r="C1" s="74" t="s">
        <v>3</v>
      </c>
      <c r="D1" s="70"/>
      <c r="F1" s="49" t="s">
        <v>5</v>
      </c>
      <c r="G1" s="72" t="s">
        <v>121</v>
      </c>
      <c r="H1" s="73"/>
      <c r="I1" s="73"/>
      <c r="J1" s="73"/>
      <c r="K1" s="73"/>
      <c r="L1" s="73"/>
      <c r="M1" s="73"/>
    </row>
    <row r="2" spans="1:13">
      <c r="A2" s="74"/>
      <c r="B2" s="74"/>
      <c r="C2" s="74"/>
      <c r="D2" s="70" t="s">
        <v>122</v>
      </c>
      <c r="E2" s="49" t="s">
        <v>123</v>
      </c>
      <c r="G2" t="s">
        <v>7</v>
      </c>
      <c r="H2" t="s">
        <v>124</v>
      </c>
      <c r="I2" t="s">
        <v>125</v>
      </c>
      <c r="J2" t="s">
        <v>126</v>
      </c>
      <c r="K2" t="s">
        <v>9</v>
      </c>
      <c r="L2" t="s">
        <v>127</v>
      </c>
    </row>
    <row r="3" spans="1:13">
      <c r="A3" s="71" t="s">
        <v>128</v>
      </c>
      <c r="B3" t="s">
        <v>129</v>
      </c>
      <c r="C3">
        <v>1939</v>
      </c>
      <c r="D3" t="s">
        <v>130</v>
      </c>
      <c r="E3" t="s">
        <v>131</v>
      </c>
      <c r="F3" t="s">
        <v>132</v>
      </c>
      <c r="G3" s="10">
        <v>-0.05</v>
      </c>
      <c r="H3" s="10">
        <v>0.45</v>
      </c>
      <c r="I3" s="10">
        <v>0.45</v>
      </c>
      <c r="J3" s="10">
        <v>0.35</v>
      </c>
      <c r="K3" s="11" t="s">
        <v>133</v>
      </c>
      <c r="L3" s="11" t="s">
        <v>134</v>
      </c>
      <c r="M3" s="12"/>
    </row>
    <row r="4" spans="1:13">
      <c r="A4" s="71"/>
      <c r="C4">
        <v>1942</v>
      </c>
      <c r="D4" t="s">
        <v>135</v>
      </c>
      <c r="E4" t="s">
        <v>136</v>
      </c>
      <c r="F4" t="s">
        <v>137</v>
      </c>
      <c r="G4" s="10">
        <v>-0.05</v>
      </c>
      <c r="H4" s="10">
        <v>0.55000000000000004</v>
      </c>
      <c r="I4" s="10">
        <v>0.55000000000000004</v>
      </c>
      <c r="J4" s="10">
        <v>0.5</v>
      </c>
      <c r="K4" s="11" t="s">
        <v>138</v>
      </c>
      <c r="L4" s="11" t="s">
        <v>134</v>
      </c>
      <c r="M4" s="12"/>
    </row>
    <row r="5" spans="1:13">
      <c r="A5" s="71"/>
      <c r="C5">
        <v>1944</v>
      </c>
      <c r="D5" t="s">
        <v>139</v>
      </c>
      <c r="E5" t="s">
        <v>140</v>
      </c>
      <c r="F5" t="s">
        <v>141</v>
      </c>
      <c r="G5" s="10">
        <v>-0.05</v>
      </c>
      <c r="H5" s="10">
        <v>0.65</v>
      </c>
      <c r="I5" s="10">
        <v>0.65</v>
      </c>
      <c r="J5" s="10">
        <v>0.65</v>
      </c>
      <c r="K5" s="11" t="s">
        <v>142</v>
      </c>
      <c r="L5" s="11" t="s">
        <v>134</v>
      </c>
      <c r="M5" s="12"/>
    </row>
    <row r="6" spans="1:13">
      <c r="A6" s="71"/>
      <c r="C6">
        <v>1950</v>
      </c>
      <c r="D6" t="s">
        <v>143</v>
      </c>
      <c r="E6" t="s">
        <v>144</v>
      </c>
      <c r="F6" t="s">
        <v>145</v>
      </c>
      <c r="G6" s="10">
        <v>-0.05</v>
      </c>
      <c r="H6" s="10">
        <f>H16*0.75</f>
        <v>0.75</v>
      </c>
      <c r="I6" s="10">
        <v>0.75</v>
      </c>
      <c r="J6" s="10">
        <v>0.8</v>
      </c>
      <c r="K6" s="11" t="s">
        <v>146</v>
      </c>
      <c r="L6" s="11" t="s">
        <v>134</v>
      </c>
      <c r="M6" s="12"/>
    </row>
    <row r="7" spans="1:13">
      <c r="A7" s="71"/>
      <c r="C7">
        <v>1960</v>
      </c>
      <c r="D7" t="s">
        <v>147</v>
      </c>
      <c r="E7" t="s">
        <v>148</v>
      </c>
      <c r="F7" t="s">
        <v>149</v>
      </c>
      <c r="G7" s="10">
        <v>-0.1</v>
      </c>
      <c r="H7" s="10">
        <v>0.8</v>
      </c>
      <c r="I7" s="10">
        <v>0.8</v>
      </c>
      <c r="J7" s="10" t="s">
        <v>150</v>
      </c>
      <c r="K7" s="11" t="s">
        <v>151</v>
      </c>
      <c r="L7" s="11" t="s">
        <v>152</v>
      </c>
      <c r="M7" s="12"/>
    </row>
    <row r="8" spans="1:13">
      <c r="A8" s="71"/>
      <c r="C8">
        <v>1970</v>
      </c>
      <c r="D8" t="s">
        <v>153</v>
      </c>
      <c r="E8" t="s">
        <v>154</v>
      </c>
      <c r="F8" s="7" t="s">
        <v>155</v>
      </c>
      <c r="G8" s="10">
        <v>-0.1</v>
      </c>
      <c r="H8" s="10">
        <v>0.85</v>
      </c>
      <c r="I8" s="10">
        <v>0.85</v>
      </c>
      <c r="J8" s="10">
        <v>0.85</v>
      </c>
      <c r="K8" s="11" t="s">
        <v>156</v>
      </c>
      <c r="L8" s="11" t="s">
        <v>152</v>
      </c>
      <c r="M8" s="12"/>
    </row>
    <row r="9" spans="1:13">
      <c r="A9" s="71"/>
      <c r="C9">
        <v>1980</v>
      </c>
      <c r="D9" t="s">
        <v>157</v>
      </c>
      <c r="E9" t="s">
        <v>158</v>
      </c>
      <c r="F9" s="7" t="s">
        <v>159</v>
      </c>
      <c r="G9" s="10">
        <v>-0.1</v>
      </c>
      <c r="H9" s="10">
        <v>0.9</v>
      </c>
      <c r="I9" s="10">
        <v>0.9</v>
      </c>
      <c r="J9" s="10" t="s">
        <v>160</v>
      </c>
      <c r="K9" s="11" t="s">
        <v>161</v>
      </c>
      <c r="L9" s="11" t="s">
        <v>152</v>
      </c>
      <c r="M9" s="12"/>
    </row>
    <row r="10" spans="1:13">
      <c r="A10" s="71"/>
      <c r="C10">
        <v>1990</v>
      </c>
      <c r="D10" t="s">
        <v>162</v>
      </c>
      <c r="E10" t="s">
        <v>163</v>
      </c>
      <c r="F10" t="s">
        <v>164</v>
      </c>
      <c r="G10" s="10">
        <v>-0.1</v>
      </c>
      <c r="H10" s="10">
        <v>0.95</v>
      </c>
      <c r="I10" s="10">
        <v>0.95</v>
      </c>
      <c r="J10" s="10">
        <v>0.9</v>
      </c>
      <c r="K10" s="11" t="s">
        <v>165</v>
      </c>
      <c r="L10" s="11" t="s">
        <v>166</v>
      </c>
      <c r="M10" s="12"/>
    </row>
    <row r="11" spans="1:13">
      <c r="A11" s="71"/>
      <c r="C11">
        <v>2005</v>
      </c>
      <c r="D11" t="s">
        <v>167</v>
      </c>
      <c r="E11" t="s">
        <v>168</v>
      </c>
      <c r="F11" t="s">
        <v>169</v>
      </c>
      <c r="G11" s="10">
        <v>-0.1</v>
      </c>
      <c r="H11" s="10">
        <v>1</v>
      </c>
      <c r="I11" s="10">
        <v>1</v>
      </c>
      <c r="J11" s="10" t="s">
        <v>170</v>
      </c>
      <c r="K11" s="11" t="s">
        <v>171</v>
      </c>
      <c r="L11" s="11" t="s">
        <v>166</v>
      </c>
      <c r="M11" s="12"/>
    </row>
    <row r="12" spans="1:13">
      <c r="A12" s="71"/>
      <c r="C12">
        <v>2015</v>
      </c>
      <c r="D12" t="s">
        <v>172</v>
      </c>
      <c r="E12" t="s">
        <v>173</v>
      </c>
      <c r="F12" t="s">
        <v>174</v>
      </c>
      <c r="G12" s="10">
        <v>-0.1</v>
      </c>
      <c r="H12" s="10">
        <v>1.05</v>
      </c>
      <c r="I12" s="10">
        <v>1.05</v>
      </c>
      <c r="J12" s="10">
        <v>0.95</v>
      </c>
      <c r="K12" s="11" t="s">
        <v>175</v>
      </c>
      <c r="L12" s="11" t="s">
        <v>166</v>
      </c>
      <c r="M12" s="12"/>
    </row>
    <row r="13" spans="1:13">
      <c r="A13" s="71"/>
      <c r="B13" t="s">
        <v>176</v>
      </c>
      <c r="C13">
        <v>1939</v>
      </c>
      <c r="D13" t="s">
        <v>177</v>
      </c>
      <c r="E13" t="s">
        <v>178</v>
      </c>
      <c r="F13" t="s">
        <v>179</v>
      </c>
      <c r="G13" s="10">
        <f>G16</f>
        <v>-0.1</v>
      </c>
      <c r="H13" s="10">
        <v>0.7</v>
      </c>
      <c r="I13" s="10">
        <v>0.7</v>
      </c>
      <c r="J13" s="10">
        <v>0.55000000000000004</v>
      </c>
      <c r="K13" s="11">
        <v>4</v>
      </c>
      <c r="L13" s="11" t="s">
        <v>152</v>
      </c>
      <c r="M13" s="12"/>
    </row>
    <row r="14" spans="1:13">
      <c r="A14" s="71"/>
      <c r="C14">
        <v>1942</v>
      </c>
      <c r="D14" t="s">
        <v>180</v>
      </c>
      <c r="F14" t="s">
        <v>181</v>
      </c>
      <c r="G14" s="10">
        <f>G16</f>
        <v>-0.1</v>
      </c>
      <c r="H14" s="10">
        <v>0.8</v>
      </c>
      <c r="I14" s="10">
        <v>0.8</v>
      </c>
      <c r="J14" s="10">
        <v>0.7</v>
      </c>
      <c r="K14" s="11">
        <v>5</v>
      </c>
      <c r="L14" s="11" t="s">
        <v>166</v>
      </c>
      <c r="M14" s="12"/>
    </row>
    <row r="15" spans="1:13">
      <c r="A15" s="71"/>
      <c r="C15">
        <v>1944</v>
      </c>
      <c r="D15" t="s">
        <v>182</v>
      </c>
      <c r="F15" t="s">
        <v>183</v>
      </c>
      <c r="G15" s="10">
        <f>G16</f>
        <v>-0.1</v>
      </c>
      <c r="H15" s="10">
        <f>H16-10%</f>
        <v>0.9</v>
      </c>
      <c r="I15" s="10">
        <v>0.9</v>
      </c>
      <c r="J15" s="10">
        <v>0.85</v>
      </c>
      <c r="K15" s="11">
        <v>6</v>
      </c>
      <c r="L15" s="11" t="s">
        <v>166</v>
      </c>
      <c r="M15" s="12"/>
    </row>
    <row r="16" spans="1:13">
      <c r="A16" s="71"/>
      <c r="B16" s="15"/>
      <c r="C16" s="15">
        <v>1950</v>
      </c>
      <c r="D16" t="s">
        <v>184</v>
      </c>
      <c r="E16" s="15"/>
      <c r="F16" s="15" t="s">
        <v>185</v>
      </c>
      <c r="G16" s="16">
        <v>-0.1</v>
      </c>
      <c r="H16" s="16">
        <v>1</v>
      </c>
      <c r="I16" s="16">
        <v>1</v>
      </c>
      <c r="J16" s="16">
        <v>1</v>
      </c>
      <c r="K16" s="17">
        <v>7</v>
      </c>
      <c r="L16" s="17" t="s">
        <v>166</v>
      </c>
      <c r="M16" s="18"/>
    </row>
    <row r="17" spans="1:13">
      <c r="A17" s="71"/>
      <c r="C17" s="8">
        <v>1960</v>
      </c>
      <c r="D17" t="s">
        <v>186</v>
      </c>
      <c r="E17" s="8"/>
      <c r="F17" s="8" t="s">
        <v>187</v>
      </c>
      <c r="G17" s="14">
        <v>-0.15</v>
      </c>
      <c r="H17" s="14">
        <f t="shared" ref="H17:I22" si="0">H16+5%</f>
        <v>1.05</v>
      </c>
      <c r="I17" s="14">
        <f t="shared" si="0"/>
        <v>1.05</v>
      </c>
      <c r="J17" s="14" t="s">
        <v>188</v>
      </c>
      <c r="K17" s="11" t="s">
        <v>161</v>
      </c>
      <c r="L17" s="11" t="s">
        <v>189</v>
      </c>
      <c r="M17" s="12"/>
    </row>
    <row r="18" spans="1:13">
      <c r="A18" s="71"/>
      <c r="C18" s="8">
        <v>1970</v>
      </c>
      <c r="D18" t="s">
        <v>190</v>
      </c>
      <c r="E18" s="8"/>
      <c r="F18" s="8" t="s">
        <v>191</v>
      </c>
      <c r="G18" s="14">
        <v>-0.15</v>
      </c>
      <c r="H18" s="14">
        <f t="shared" si="0"/>
        <v>1.1000000000000001</v>
      </c>
      <c r="I18" s="14">
        <f t="shared" si="0"/>
        <v>1.1000000000000001</v>
      </c>
      <c r="J18" s="14">
        <v>1.1499999999999999</v>
      </c>
      <c r="M18" s="12"/>
    </row>
    <row r="19" spans="1:13">
      <c r="A19" s="71"/>
      <c r="C19" s="8">
        <v>1980</v>
      </c>
      <c r="D19" t="s">
        <v>192</v>
      </c>
      <c r="E19" s="8"/>
      <c r="F19" s="8" t="s">
        <v>193</v>
      </c>
      <c r="G19" s="14">
        <v>-0.15</v>
      </c>
      <c r="H19" s="14">
        <f t="shared" si="0"/>
        <v>1.1500000000000001</v>
      </c>
      <c r="I19" s="14">
        <f t="shared" si="0"/>
        <v>1.1500000000000001</v>
      </c>
      <c r="J19" s="14" t="s">
        <v>194</v>
      </c>
      <c r="K19" s="11" t="s">
        <v>165</v>
      </c>
      <c r="L19" s="11" t="s">
        <v>189</v>
      </c>
      <c r="M19" s="12"/>
    </row>
    <row r="20" spans="1:13">
      <c r="A20" s="71"/>
      <c r="C20" s="8">
        <v>1990</v>
      </c>
      <c r="D20" t="s">
        <v>195</v>
      </c>
      <c r="E20" s="8"/>
      <c r="F20" s="9" t="s">
        <v>196</v>
      </c>
      <c r="G20" s="14">
        <v>-0.15</v>
      </c>
      <c r="H20" s="14">
        <f t="shared" si="0"/>
        <v>1.2000000000000002</v>
      </c>
      <c r="I20" s="14">
        <f t="shared" si="0"/>
        <v>1.2000000000000002</v>
      </c>
      <c r="J20" s="14">
        <v>1.2</v>
      </c>
      <c r="M20" s="12"/>
    </row>
    <row r="21" spans="1:13">
      <c r="A21" s="71"/>
      <c r="C21" s="8">
        <v>2005</v>
      </c>
      <c r="D21" t="s">
        <v>197</v>
      </c>
      <c r="E21" s="8"/>
      <c r="F21" s="9" t="s">
        <v>198</v>
      </c>
      <c r="G21" s="14">
        <v>-0.15</v>
      </c>
      <c r="H21" s="14">
        <f>H20+5%</f>
        <v>1.2500000000000002</v>
      </c>
      <c r="I21" s="14">
        <f t="shared" si="0"/>
        <v>1.2500000000000002</v>
      </c>
      <c r="J21" s="14" t="s">
        <v>199</v>
      </c>
      <c r="K21" s="11" t="s">
        <v>171</v>
      </c>
      <c r="L21" s="11" t="s">
        <v>189</v>
      </c>
      <c r="M21" s="12"/>
    </row>
    <row r="22" spans="1:13">
      <c r="A22" s="71"/>
      <c r="C22" s="8">
        <v>2015</v>
      </c>
      <c r="D22" t="s">
        <v>200</v>
      </c>
      <c r="E22" s="8"/>
      <c r="F22" s="9" t="s">
        <v>201</v>
      </c>
      <c r="G22" s="14">
        <v>-0.15</v>
      </c>
      <c r="H22" s="14">
        <f t="shared" si="0"/>
        <v>1.3000000000000003</v>
      </c>
      <c r="I22" s="14">
        <f t="shared" si="0"/>
        <v>1.3000000000000003</v>
      </c>
      <c r="J22" s="14">
        <v>1.25</v>
      </c>
      <c r="M22" s="12"/>
    </row>
    <row r="23" spans="1:13">
      <c r="A23" s="71"/>
      <c r="C23">
        <v>1960</v>
      </c>
      <c r="D23" t="s">
        <v>202</v>
      </c>
      <c r="E23" t="s">
        <v>203</v>
      </c>
      <c r="F23" t="s">
        <v>204</v>
      </c>
      <c r="G23" s="10">
        <v>-0.15</v>
      </c>
      <c r="H23" s="13">
        <v>1.05</v>
      </c>
      <c r="I23" s="13">
        <v>1.05</v>
      </c>
      <c r="J23" s="50">
        <v>1.0249999999999999</v>
      </c>
      <c r="K23" s="11">
        <v>8</v>
      </c>
      <c r="L23" s="11" t="s">
        <v>189</v>
      </c>
      <c r="M23" s="12"/>
    </row>
    <row r="24" spans="1:13">
      <c r="A24" s="71"/>
      <c r="C24">
        <v>1970</v>
      </c>
      <c r="D24" t="s">
        <v>205</v>
      </c>
      <c r="F24" t="s">
        <v>206</v>
      </c>
      <c r="G24" s="10">
        <v>-0.15</v>
      </c>
      <c r="H24" s="10">
        <v>1.1000000000000001</v>
      </c>
      <c r="I24" s="10">
        <v>1.1000000000000001</v>
      </c>
      <c r="J24" s="10">
        <v>1.05</v>
      </c>
      <c r="K24" s="11">
        <v>9</v>
      </c>
      <c r="L24" s="11" t="s">
        <v>189</v>
      </c>
      <c r="M24" s="12"/>
    </row>
    <row r="25" spans="1:13">
      <c r="A25" s="71"/>
      <c r="C25">
        <v>1980</v>
      </c>
      <c r="D25" t="s">
        <v>207</v>
      </c>
      <c r="F25" t="s">
        <v>208</v>
      </c>
      <c r="G25" s="10">
        <v>-0.15</v>
      </c>
      <c r="H25" s="10">
        <v>1.1499999999999999</v>
      </c>
      <c r="I25" s="10">
        <v>1.1499999999999999</v>
      </c>
      <c r="J25" s="10" t="s">
        <v>209</v>
      </c>
      <c r="K25" s="11">
        <v>10</v>
      </c>
      <c r="L25" s="11" t="s">
        <v>189</v>
      </c>
      <c r="M25" s="12"/>
    </row>
    <row r="26" spans="1:13">
      <c r="A26" s="71"/>
      <c r="C26">
        <v>1990</v>
      </c>
      <c r="D26" t="s">
        <v>210</v>
      </c>
      <c r="F26" t="s">
        <v>211</v>
      </c>
      <c r="G26" s="10">
        <v>-0.15</v>
      </c>
      <c r="H26" s="10">
        <v>1.2</v>
      </c>
      <c r="I26" s="10">
        <v>1.2</v>
      </c>
      <c r="J26" s="10">
        <v>1.1000000000000001</v>
      </c>
      <c r="K26" s="11">
        <v>11</v>
      </c>
      <c r="L26" s="11" t="s">
        <v>189</v>
      </c>
      <c r="M26" s="12"/>
    </row>
    <row r="27" spans="1:13">
      <c r="A27" s="71"/>
      <c r="C27">
        <v>2005</v>
      </c>
      <c r="D27" t="s">
        <v>212</v>
      </c>
      <c r="F27" t="s">
        <v>213</v>
      </c>
      <c r="G27" s="10">
        <v>-0.15</v>
      </c>
      <c r="H27" s="10">
        <v>1.25</v>
      </c>
      <c r="I27" s="10">
        <v>1.25</v>
      </c>
      <c r="J27" s="10" t="s">
        <v>188</v>
      </c>
      <c r="K27" s="11">
        <v>12</v>
      </c>
      <c r="L27" s="11" t="s">
        <v>189</v>
      </c>
      <c r="M27" s="12"/>
    </row>
    <row r="28" spans="1:13">
      <c r="A28" s="71"/>
      <c r="C28">
        <v>2015</v>
      </c>
      <c r="D28" t="s">
        <v>214</v>
      </c>
      <c r="F28" t="s">
        <v>215</v>
      </c>
      <c r="G28" s="10">
        <v>-0.15</v>
      </c>
      <c r="H28" s="10">
        <v>1.3</v>
      </c>
      <c r="I28" s="10">
        <v>1.3</v>
      </c>
      <c r="J28" s="10">
        <v>1.1499999999999999</v>
      </c>
      <c r="K28" s="11">
        <v>13</v>
      </c>
      <c r="L28" s="11" t="s">
        <v>189</v>
      </c>
      <c r="M28" s="12"/>
    </row>
    <row r="29" spans="1:13">
      <c r="A29" s="71"/>
      <c r="B29" t="s">
        <v>216</v>
      </c>
      <c r="C29">
        <v>1942</v>
      </c>
      <c r="F29" t="s">
        <v>217</v>
      </c>
      <c r="G29" s="10">
        <v>-0.2</v>
      </c>
      <c r="H29" s="10">
        <f>H14*1.1</f>
        <v>0.88000000000000012</v>
      </c>
      <c r="I29" s="10">
        <v>1</v>
      </c>
      <c r="J29" s="10">
        <v>0.95</v>
      </c>
      <c r="K29" s="11">
        <v>7</v>
      </c>
      <c r="L29" s="11" t="s">
        <v>189</v>
      </c>
      <c r="M29" s="12"/>
    </row>
    <row r="30" spans="1:13">
      <c r="A30" s="71"/>
      <c r="C30">
        <v>1944</v>
      </c>
      <c r="F30" t="s">
        <v>218</v>
      </c>
      <c r="G30" s="10">
        <v>-0.2</v>
      </c>
      <c r="H30" s="10">
        <f>H15*1.1</f>
        <v>0.9900000000000001</v>
      </c>
      <c r="I30" s="10">
        <v>1.05</v>
      </c>
      <c r="J30" s="10">
        <v>1</v>
      </c>
      <c r="K30" s="11">
        <v>8</v>
      </c>
      <c r="L30" s="11" t="s">
        <v>189</v>
      </c>
      <c r="M30" s="12"/>
    </row>
    <row r="31" spans="1:13">
      <c r="A31" s="71"/>
      <c r="C31">
        <v>1950</v>
      </c>
      <c r="F31" t="s">
        <v>219</v>
      </c>
      <c r="G31" s="10">
        <v>-0.2</v>
      </c>
      <c r="H31" s="10">
        <f>H16*1.1</f>
        <v>1.1000000000000001</v>
      </c>
      <c r="I31" s="10">
        <v>1.1000000000000001</v>
      </c>
      <c r="J31" s="10">
        <v>1.05</v>
      </c>
      <c r="K31" s="11">
        <v>9</v>
      </c>
      <c r="L31" s="11" t="s">
        <v>189</v>
      </c>
      <c r="M31" s="12"/>
    </row>
    <row r="32" spans="1:13">
      <c r="A32" s="71"/>
      <c r="C32">
        <v>1955</v>
      </c>
      <c r="F32" t="s">
        <v>220</v>
      </c>
      <c r="G32" s="10">
        <v>-0.2</v>
      </c>
      <c r="H32" s="10">
        <f>H17*1.1</f>
        <v>1.1550000000000002</v>
      </c>
      <c r="I32" s="10">
        <v>1.1499999999999999</v>
      </c>
      <c r="J32" s="10">
        <v>1.1000000000000001</v>
      </c>
      <c r="K32" s="11">
        <v>10</v>
      </c>
      <c r="L32" s="11" t="s">
        <v>221</v>
      </c>
      <c r="M32" s="12"/>
    </row>
    <row r="33" spans="1:13">
      <c r="A33" s="71"/>
      <c r="B33" t="s">
        <v>222</v>
      </c>
      <c r="C33">
        <v>1955</v>
      </c>
      <c r="F33" t="s">
        <v>223</v>
      </c>
      <c r="G33" s="10">
        <v>-0.3</v>
      </c>
      <c r="H33" s="10">
        <f>H16*150%</f>
        <v>1.5</v>
      </c>
      <c r="I33" s="10">
        <v>1.45</v>
      </c>
      <c r="J33" s="10">
        <v>1.35</v>
      </c>
      <c r="K33" s="11">
        <v>14</v>
      </c>
      <c r="L33" s="11" t="s">
        <v>224</v>
      </c>
      <c r="M33" s="12"/>
    </row>
    <row r="34" spans="1:13">
      <c r="A34" s="71"/>
      <c r="B34" t="s">
        <v>225</v>
      </c>
      <c r="C34">
        <v>1960</v>
      </c>
      <c r="F34" t="s">
        <v>226</v>
      </c>
      <c r="G34" s="10">
        <v>-0.15</v>
      </c>
      <c r="H34" s="10">
        <v>0.9</v>
      </c>
      <c r="I34" s="10">
        <v>0.9</v>
      </c>
      <c r="J34" s="10">
        <v>0.95</v>
      </c>
      <c r="K34" s="11">
        <v>9</v>
      </c>
      <c r="L34" s="11" t="s">
        <v>189</v>
      </c>
      <c r="M34" s="12"/>
    </row>
    <row r="35" spans="1:13">
      <c r="A35" s="71"/>
      <c r="B35" t="s">
        <v>227</v>
      </c>
      <c r="C35">
        <v>1985</v>
      </c>
      <c r="F35" t="s">
        <v>228</v>
      </c>
      <c r="G35" s="10">
        <v>-0.25</v>
      </c>
      <c r="H35" s="10">
        <v>1.2</v>
      </c>
      <c r="I35" s="10">
        <v>1.2</v>
      </c>
      <c r="J35" s="10">
        <v>1.35</v>
      </c>
      <c r="K35" s="11">
        <v>15</v>
      </c>
      <c r="L35" s="11" t="s">
        <v>221</v>
      </c>
      <c r="M35" s="12"/>
    </row>
    <row r="36" spans="1:13">
      <c r="A36" s="71"/>
      <c r="C36">
        <v>1995</v>
      </c>
      <c r="F36" t="s">
        <v>229</v>
      </c>
      <c r="G36" s="10">
        <v>-0.2</v>
      </c>
      <c r="H36" s="10">
        <v>1.25</v>
      </c>
      <c r="I36" s="10">
        <v>1.25</v>
      </c>
      <c r="J36" s="10">
        <v>1.4</v>
      </c>
      <c r="K36" s="11">
        <v>16</v>
      </c>
      <c r="L36" s="11" t="s">
        <v>221</v>
      </c>
      <c r="M36" s="12"/>
    </row>
    <row r="37" spans="1:13">
      <c r="A37" s="71"/>
      <c r="C37">
        <v>2010</v>
      </c>
      <c r="F37" t="s">
        <v>230</v>
      </c>
      <c r="G37" s="10">
        <v>-0.2</v>
      </c>
      <c r="H37" s="10">
        <v>1.3</v>
      </c>
      <c r="I37" s="10">
        <v>1.3</v>
      </c>
      <c r="J37" s="10">
        <v>1.45</v>
      </c>
      <c r="K37" s="11">
        <v>17</v>
      </c>
      <c r="L37" s="11" t="s">
        <v>221</v>
      </c>
      <c r="M37" s="12"/>
    </row>
    <row r="38" spans="1:13">
      <c r="A38" s="71"/>
      <c r="B38" t="s">
        <v>231</v>
      </c>
      <c r="C38">
        <v>1950</v>
      </c>
      <c r="F38" t="s">
        <v>232</v>
      </c>
      <c r="G38" s="10" t="s">
        <v>233</v>
      </c>
      <c r="H38" s="10">
        <v>0.6</v>
      </c>
      <c r="I38" s="10">
        <v>0.6</v>
      </c>
      <c r="J38" s="10">
        <v>0.6</v>
      </c>
      <c r="K38" s="11">
        <v>2</v>
      </c>
      <c r="L38" s="11" t="s">
        <v>134</v>
      </c>
      <c r="M38" s="12"/>
    </row>
    <row r="39" spans="1:13">
      <c r="A39" s="71"/>
      <c r="C39">
        <v>1960</v>
      </c>
      <c r="F39" s="7" t="s">
        <v>234</v>
      </c>
      <c r="G39" s="10" t="s">
        <v>233</v>
      </c>
      <c r="H39" s="10">
        <v>0.7</v>
      </c>
      <c r="I39" s="10">
        <v>0.7</v>
      </c>
      <c r="J39" s="10">
        <v>0.6</v>
      </c>
      <c r="K39" s="11">
        <v>3</v>
      </c>
      <c r="L39" s="11" t="s">
        <v>134</v>
      </c>
      <c r="M39" s="12"/>
    </row>
    <row r="40" spans="1:13">
      <c r="A40" s="71"/>
      <c r="C40">
        <v>1970</v>
      </c>
      <c r="F40" s="7" t="s">
        <v>235</v>
      </c>
      <c r="G40" s="10" t="s">
        <v>233</v>
      </c>
      <c r="H40" s="10">
        <v>0.8</v>
      </c>
      <c r="I40" s="10">
        <v>0.8</v>
      </c>
      <c r="J40" s="10">
        <v>0.6</v>
      </c>
      <c r="K40" s="11">
        <v>4</v>
      </c>
      <c r="L40" s="11" t="s">
        <v>134</v>
      </c>
      <c r="M40" s="12"/>
    </row>
    <row r="41" spans="1:13">
      <c r="A41" s="71"/>
      <c r="C41">
        <v>1990</v>
      </c>
      <c r="F41" t="s">
        <v>236</v>
      </c>
      <c r="G41" s="10">
        <v>-0.05</v>
      </c>
      <c r="H41" s="10">
        <v>0.9</v>
      </c>
      <c r="I41" s="10">
        <v>0.9</v>
      </c>
      <c r="J41" s="10">
        <v>0.6</v>
      </c>
      <c r="K41" s="11">
        <v>5</v>
      </c>
      <c r="L41" s="11" t="s">
        <v>152</v>
      </c>
      <c r="M41" s="12"/>
    </row>
    <row r="42" spans="1:13">
      <c r="A42" s="71" t="s">
        <v>237</v>
      </c>
      <c r="B42" s="71" t="s">
        <v>238</v>
      </c>
    </row>
    <row r="43" spans="1:13">
      <c r="A43" s="71"/>
      <c r="B43" s="71"/>
    </row>
    <row r="44" spans="1:13">
      <c r="A44" s="71"/>
      <c r="B44" s="71"/>
    </row>
    <row r="45" spans="1:13">
      <c r="A45" s="71"/>
      <c r="B45" s="71"/>
    </row>
    <row r="46" spans="1:13">
      <c r="A46" s="71"/>
      <c r="B46" s="71"/>
    </row>
    <row r="47" spans="1:13">
      <c r="A47" s="71"/>
      <c r="B47" s="71"/>
    </row>
    <row r="48" spans="1:13">
      <c r="A48" s="71"/>
      <c r="B48" s="71"/>
    </row>
    <row r="49" spans="1:2">
      <c r="A49" s="71"/>
      <c r="B49" s="71" t="s">
        <v>239</v>
      </c>
    </row>
    <row r="50" spans="1:2">
      <c r="A50" s="71"/>
      <c r="B50" s="71"/>
    </row>
    <row r="51" spans="1:2">
      <c r="A51" s="71"/>
      <c r="B51" s="71"/>
    </row>
    <row r="52" spans="1:2">
      <c r="A52" s="71"/>
      <c r="B52" s="71"/>
    </row>
    <row r="53" spans="1:2">
      <c r="A53" s="71"/>
      <c r="B53" s="71"/>
    </row>
    <row r="54" spans="1:2">
      <c r="A54" s="71"/>
      <c r="B54" s="71"/>
    </row>
    <row r="55" spans="1:2">
      <c r="A55" s="71"/>
      <c r="B55" s="71"/>
    </row>
    <row r="56" spans="1:2">
      <c r="A56" s="71"/>
      <c r="B56" s="71"/>
    </row>
  </sheetData>
  <mergeCells count="7">
    <mergeCell ref="G1:M1"/>
    <mergeCell ref="A3:A41"/>
    <mergeCell ref="A42:A56"/>
    <mergeCell ref="B42:B48"/>
    <mergeCell ref="B49:B56"/>
    <mergeCell ref="A1:B2"/>
    <mergeCell ref="C1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95D5-6D4E-446C-922E-D7E24CEF88DE}">
  <dimension ref="A1"/>
  <sheetViews>
    <sheetView workbookViewId="0">
      <selection activeCell="J14" sqref="J14"/>
    </sheetView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F03D-ECA1-4BE8-B9F7-BEC9D70A119F}">
  <dimension ref="A1:AG29"/>
  <sheetViews>
    <sheetView topLeftCell="M1" workbookViewId="0">
      <selection activeCell="P25" sqref="P25:P29"/>
    </sheetView>
  </sheetViews>
  <sheetFormatPr defaultRowHeight="15"/>
  <cols>
    <col min="1" max="1" width="45.28515625" customWidth="1"/>
    <col min="2" max="2" width="11" customWidth="1"/>
    <col min="3" max="3" width="37" customWidth="1"/>
    <col min="4" max="4" width="22" customWidth="1"/>
    <col min="5" max="5" width="14.7109375" customWidth="1"/>
    <col min="6" max="7" width="14.85546875" customWidth="1"/>
    <col min="8" max="8" width="12.5703125" customWidth="1"/>
    <col min="9" max="9" width="13.5703125" customWidth="1"/>
    <col min="10" max="10" width="11.5703125" customWidth="1"/>
    <col min="11" max="11" width="12.85546875" customWidth="1"/>
    <col min="12" max="12" width="14.28515625" customWidth="1"/>
    <col min="13" max="13" width="15.42578125" customWidth="1"/>
    <col min="15" max="15" width="11.140625" customWidth="1"/>
    <col min="16" max="16" width="13.5703125" customWidth="1"/>
    <col min="17" max="17" width="13.28515625" customWidth="1"/>
    <col min="19" max="19" width="10.28515625" customWidth="1"/>
    <col min="21" max="21" width="21.28515625" customWidth="1"/>
    <col min="22" max="22" width="22.5703125" customWidth="1"/>
    <col min="23" max="23" width="16" customWidth="1"/>
    <col min="24" max="24" width="19" customWidth="1"/>
    <col min="25" max="25" width="15" customWidth="1"/>
    <col min="26" max="26" width="16.7109375" customWidth="1"/>
    <col min="27" max="28" width="15.7109375" customWidth="1"/>
    <col min="29" max="29" width="19.28515625" customWidth="1"/>
    <col min="30" max="30" width="12.42578125" customWidth="1"/>
    <col min="31" max="31" width="16.7109375" customWidth="1"/>
    <col min="32" max="32" width="15.85546875" customWidth="1"/>
  </cols>
  <sheetData>
    <row r="1" spans="1:33">
      <c r="A1" s="74" t="s">
        <v>2</v>
      </c>
      <c r="B1" s="74" t="s">
        <v>3</v>
      </c>
      <c r="C1" s="74" t="s">
        <v>240</v>
      </c>
      <c r="D1" s="74"/>
      <c r="E1" s="74" t="s">
        <v>5</v>
      </c>
      <c r="F1" s="72" t="s">
        <v>121</v>
      </c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5" t="s">
        <v>241</v>
      </c>
      <c r="AC1" s="75"/>
      <c r="AD1" s="75"/>
      <c r="AE1" s="75"/>
      <c r="AF1" s="75"/>
      <c r="AG1" s="36"/>
    </row>
    <row r="2" spans="1:33">
      <c r="A2" s="74"/>
      <c r="B2" s="74"/>
      <c r="C2" s="70" t="s">
        <v>242</v>
      </c>
      <c r="D2" s="70" t="s">
        <v>243</v>
      </c>
      <c r="E2" s="74"/>
      <c r="F2" s="66" t="s">
        <v>244</v>
      </c>
      <c r="G2" s="66" t="s">
        <v>245</v>
      </c>
      <c r="H2" s="66" t="s">
        <v>124</v>
      </c>
      <c r="I2" s="66" t="s">
        <v>246</v>
      </c>
      <c r="J2" s="66" t="s">
        <v>125</v>
      </c>
      <c r="K2" s="66" t="s">
        <v>247</v>
      </c>
      <c r="L2" s="66" t="s">
        <v>248</v>
      </c>
      <c r="M2" s="66" t="s">
        <v>249</v>
      </c>
      <c r="N2" s="66" t="s">
        <v>250</v>
      </c>
      <c r="O2" s="66" t="s">
        <v>251</v>
      </c>
      <c r="P2" s="66" t="s">
        <v>127</v>
      </c>
      <c r="Q2" s="66" t="s">
        <v>252</v>
      </c>
      <c r="R2" s="66" t="s">
        <v>8</v>
      </c>
      <c r="S2" s="66" t="s">
        <v>253</v>
      </c>
      <c r="T2" s="66" t="s">
        <v>112</v>
      </c>
      <c r="U2" s="66" t="s">
        <v>254</v>
      </c>
      <c r="V2" s="66" t="s">
        <v>255</v>
      </c>
      <c r="W2" s="66" t="s">
        <v>256</v>
      </c>
      <c r="X2" s="66" t="s">
        <v>257</v>
      </c>
      <c r="Y2" s="23" t="s">
        <v>9</v>
      </c>
      <c r="Z2" s="66" t="s">
        <v>258</v>
      </c>
      <c r="AA2" s="66" t="s">
        <v>259</v>
      </c>
      <c r="AB2" s="66" t="s">
        <v>260</v>
      </c>
      <c r="AC2" s="66" t="s">
        <v>261</v>
      </c>
      <c r="AD2" s="66" t="s">
        <v>262</v>
      </c>
      <c r="AE2" s="66" t="s">
        <v>263</v>
      </c>
      <c r="AF2" s="66" t="s">
        <v>264</v>
      </c>
      <c r="AG2" s="66"/>
    </row>
    <row r="3" spans="1:33">
      <c r="A3" s="71" t="s">
        <v>265</v>
      </c>
      <c r="B3" s="15">
        <v>1939</v>
      </c>
      <c r="C3" s="15" t="s">
        <v>266</v>
      </c>
      <c r="D3" s="15" t="s">
        <v>267</v>
      </c>
      <c r="E3" s="15" t="s">
        <v>268</v>
      </c>
      <c r="F3" s="26">
        <v>1</v>
      </c>
      <c r="G3" s="26">
        <v>0.7</v>
      </c>
      <c r="H3" s="15"/>
      <c r="I3" s="15"/>
      <c r="J3" s="15"/>
      <c r="K3" s="15"/>
      <c r="L3" s="15">
        <v>25</v>
      </c>
      <c r="M3" s="15"/>
      <c r="N3" s="15">
        <v>8</v>
      </c>
      <c r="O3" s="15"/>
      <c r="P3" s="15">
        <v>7</v>
      </c>
      <c r="Q3" s="15"/>
      <c r="R3" s="15">
        <v>15</v>
      </c>
      <c r="S3" s="15"/>
      <c r="T3" s="15"/>
      <c r="U3" s="15"/>
      <c r="V3" s="15"/>
      <c r="W3" s="15">
        <v>2</v>
      </c>
      <c r="X3" s="15"/>
      <c r="Y3" s="25">
        <v>5</v>
      </c>
      <c r="Z3" s="15"/>
      <c r="AA3" s="15"/>
      <c r="AB3" s="15"/>
      <c r="AC3" s="15">
        <v>1</v>
      </c>
      <c r="AD3" s="15"/>
      <c r="AE3" s="15"/>
    </row>
    <row r="4" spans="1:33">
      <c r="A4" s="71"/>
      <c r="B4">
        <v>1942</v>
      </c>
      <c r="C4" t="s">
        <v>269</v>
      </c>
      <c r="D4" t="s">
        <v>270</v>
      </c>
      <c r="E4" t="s">
        <v>271</v>
      </c>
      <c r="F4" s="27">
        <f>F3+5%</f>
        <v>1.05</v>
      </c>
      <c r="G4" s="27">
        <f>G3</f>
        <v>0.7</v>
      </c>
      <c r="L4" s="34">
        <f>L3</f>
        <v>25</v>
      </c>
      <c r="N4">
        <f>N3</f>
        <v>8</v>
      </c>
      <c r="P4">
        <f>P3+0.5</f>
        <v>7.5</v>
      </c>
      <c r="R4">
        <f>R3+5</f>
        <v>20</v>
      </c>
      <c r="W4">
        <f>W3</f>
        <v>2</v>
      </c>
      <c r="Y4" s="24">
        <f>Y3+1.5</f>
        <v>6.5</v>
      </c>
      <c r="AC4">
        <v>1</v>
      </c>
    </row>
    <row r="5" spans="1:33">
      <c r="A5" s="71"/>
      <c r="B5">
        <v>1944</v>
      </c>
      <c r="C5" t="s">
        <v>272</v>
      </c>
      <c r="D5" t="s">
        <v>273</v>
      </c>
      <c r="E5" t="s">
        <v>274</v>
      </c>
      <c r="F5" s="27">
        <f>F4+5%</f>
        <v>1.1000000000000001</v>
      </c>
      <c r="G5" s="27">
        <f>G4</f>
        <v>0.7</v>
      </c>
      <c r="L5" s="34">
        <f>L3</f>
        <v>25</v>
      </c>
      <c r="N5">
        <f>N4</f>
        <v>8</v>
      </c>
      <c r="P5">
        <f t="shared" ref="P5:P12" si="0">P4+0.5</f>
        <v>8</v>
      </c>
      <c r="R5">
        <f t="shared" ref="R5:R12" si="1">R4+5</f>
        <v>25</v>
      </c>
      <c r="W5">
        <f t="shared" ref="W5:W12" si="2">W4</f>
        <v>2</v>
      </c>
      <c r="Y5" s="24">
        <f t="shared" ref="Y5:Y12" si="3">Y4+1.5</f>
        <v>8</v>
      </c>
      <c r="AC5">
        <v>1</v>
      </c>
    </row>
    <row r="6" spans="1:33">
      <c r="A6" s="71"/>
      <c r="B6">
        <v>1950</v>
      </c>
      <c r="C6" t="s">
        <v>275</v>
      </c>
      <c r="D6" t="s">
        <v>276</v>
      </c>
      <c r="E6" t="s">
        <v>277</v>
      </c>
      <c r="F6" s="27">
        <f>F5+5%</f>
        <v>1.1500000000000001</v>
      </c>
      <c r="G6" s="27">
        <f>G5</f>
        <v>0.7</v>
      </c>
      <c r="L6" s="34">
        <f>L3</f>
        <v>25</v>
      </c>
      <c r="N6">
        <f>N5</f>
        <v>8</v>
      </c>
      <c r="P6">
        <f t="shared" si="0"/>
        <v>8.5</v>
      </c>
      <c r="R6">
        <f t="shared" si="1"/>
        <v>30</v>
      </c>
      <c r="W6">
        <f t="shared" si="2"/>
        <v>2</v>
      </c>
      <c r="Y6" s="24">
        <f t="shared" si="3"/>
        <v>9.5</v>
      </c>
      <c r="AC6">
        <v>2</v>
      </c>
      <c r="AD6">
        <v>1</v>
      </c>
    </row>
    <row r="7" spans="1:33">
      <c r="A7" s="71"/>
      <c r="B7">
        <v>1960</v>
      </c>
      <c r="C7" t="s">
        <v>278</v>
      </c>
      <c r="D7" t="s">
        <v>279</v>
      </c>
      <c r="E7" t="s">
        <v>280</v>
      </c>
      <c r="F7" s="27">
        <f>F6+5%</f>
        <v>1.2000000000000002</v>
      </c>
      <c r="G7" s="27">
        <f>G6</f>
        <v>0.7</v>
      </c>
      <c r="L7" s="34">
        <f>L4</f>
        <v>25</v>
      </c>
      <c r="N7">
        <f>N6</f>
        <v>8</v>
      </c>
      <c r="P7">
        <f t="shared" si="0"/>
        <v>9</v>
      </c>
      <c r="R7">
        <f t="shared" si="1"/>
        <v>35</v>
      </c>
      <c r="W7">
        <f t="shared" si="2"/>
        <v>2</v>
      </c>
      <c r="Y7" s="24">
        <f t="shared" si="3"/>
        <v>11</v>
      </c>
      <c r="AC7">
        <v>2</v>
      </c>
      <c r="AD7">
        <v>1</v>
      </c>
    </row>
    <row r="8" spans="1:33">
      <c r="A8" s="71"/>
      <c r="B8">
        <v>1970</v>
      </c>
      <c r="C8" t="s">
        <v>281</v>
      </c>
      <c r="D8" t="s">
        <v>282</v>
      </c>
      <c r="E8" t="s">
        <v>283</v>
      </c>
      <c r="F8" s="27">
        <f>F7+5%</f>
        <v>1.2500000000000002</v>
      </c>
      <c r="G8" s="27">
        <f>G7</f>
        <v>0.7</v>
      </c>
      <c r="L8" s="34">
        <f>L5</f>
        <v>25</v>
      </c>
      <c r="N8">
        <f>N7</f>
        <v>8</v>
      </c>
      <c r="P8">
        <f t="shared" si="0"/>
        <v>9.5</v>
      </c>
      <c r="R8">
        <f t="shared" si="1"/>
        <v>40</v>
      </c>
      <c r="W8">
        <f t="shared" si="2"/>
        <v>2</v>
      </c>
      <c r="Y8" s="24">
        <f t="shared" si="3"/>
        <v>12.5</v>
      </c>
      <c r="AC8">
        <v>2</v>
      </c>
      <c r="AD8">
        <v>1</v>
      </c>
    </row>
    <row r="9" spans="1:33">
      <c r="A9" s="71"/>
      <c r="B9">
        <v>1980</v>
      </c>
      <c r="C9" t="s">
        <v>284</v>
      </c>
      <c r="D9" t="s">
        <v>285</v>
      </c>
      <c r="E9" t="s">
        <v>286</v>
      </c>
      <c r="F9" s="27">
        <f>F8+5%</f>
        <v>1.3000000000000003</v>
      </c>
      <c r="G9" s="27">
        <f>G8</f>
        <v>0.7</v>
      </c>
      <c r="L9" s="34">
        <f>L6</f>
        <v>25</v>
      </c>
      <c r="N9">
        <f>N8</f>
        <v>8</v>
      </c>
      <c r="P9">
        <f t="shared" si="0"/>
        <v>10</v>
      </c>
      <c r="R9">
        <f t="shared" si="1"/>
        <v>45</v>
      </c>
      <c r="W9">
        <f t="shared" si="2"/>
        <v>2</v>
      </c>
      <c r="Y9" s="24">
        <f t="shared" si="3"/>
        <v>14</v>
      </c>
      <c r="AC9">
        <v>2</v>
      </c>
      <c r="AD9">
        <v>1</v>
      </c>
    </row>
    <row r="10" spans="1:33">
      <c r="A10" s="71"/>
      <c r="B10">
        <v>1990</v>
      </c>
      <c r="C10" t="s">
        <v>287</v>
      </c>
      <c r="D10" t="s">
        <v>288</v>
      </c>
      <c r="E10" t="s">
        <v>289</v>
      </c>
      <c r="F10" s="27">
        <f>F9+5%</f>
        <v>1.3500000000000003</v>
      </c>
      <c r="G10" s="27">
        <f>G9</f>
        <v>0.7</v>
      </c>
      <c r="L10" s="34">
        <f>L7</f>
        <v>25</v>
      </c>
      <c r="N10">
        <f>N9</f>
        <v>8</v>
      </c>
      <c r="P10">
        <f t="shared" si="0"/>
        <v>10.5</v>
      </c>
      <c r="R10">
        <f t="shared" si="1"/>
        <v>50</v>
      </c>
      <c r="W10">
        <f t="shared" si="2"/>
        <v>2</v>
      </c>
      <c r="Y10" s="24">
        <f t="shared" si="3"/>
        <v>15.5</v>
      </c>
      <c r="AC10">
        <v>2</v>
      </c>
      <c r="AD10">
        <v>1</v>
      </c>
    </row>
    <row r="11" spans="1:33">
      <c r="A11" s="71"/>
      <c r="B11">
        <v>2000</v>
      </c>
      <c r="C11" t="s">
        <v>290</v>
      </c>
      <c r="D11" t="s">
        <v>291</v>
      </c>
      <c r="E11" t="s">
        <v>292</v>
      </c>
      <c r="F11" s="27">
        <f>F10+5%</f>
        <v>1.4000000000000004</v>
      </c>
      <c r="G11" s="27">
        <f>G10</f>
        <v>0.7</v>
      </c>
      <c r="L11" s="34">
        <f>L8</f>
        <v>25</v>
      </c>
      <c r="N11">
        <f>N10</f>
        <v>8</v>
      </c>
      <c r="P11">
        <f t="shared" si="0"/>
        <v>11</v>
      </c>
      <c r="R11">
        <f t="shared" si="1"/>
        <v>55</v>
      </c>
      <c r="W11">
        <f t="shared" si="2"/>
        <v>2</v>
      </c>
      <c r="Y11" s="24">
        <f t="shared" si="3"/>
        <v>17</v>
      </c>
      <c r="AC11">
        <v>2</v>
      </c>
      <c r="AD11">
        <v>1</v>
      </c>
    </row>
    <row r="12" spans="1:33">
      <c r="A12" s="71"/>
      <c r="B12">
        <v>2010</v>
      </c>
      <c r="C12" t="s">
        <v>293</v>
      </c>
      <c r="D12" t="s">
        <v>294</v>
      </c>
      <c r="E12" t="s">
        <v>295</v>
      </c>
      <c r="F12" s="27">
        <f>F11+5%</f>
        <v>1.4500000000000004</v>
      </c>
      <c r="G12" s="27">
        <f>G11</f>
        <v>0.7</v>
      </c>
      <c r="L12" s="34">
        <f>L9</f>
        <v>25</v>
      </c>
      <c r="N12">
        <f>N11</f>
        <v>8</v>
      </c>
      <c r="P12">
        <f t="shared" si="0"/>
        <v>11.5</v>
      </c>
      <c r="R12">
        <f t="shared" si="1"/>
        <v>60</v>
      </c>
      <c r="W12">
        <f t="shared" si="2"/>
        <v>2</v>
      </c>
      <c r="Y12" s="24">
        <f t="shared" si="3"/>
        <v>18.5</v>
      </c>
      <c r="AC12">
        <v>2</v>
      </c>
      <c r="AD12">
        <v>1</v>
      </c>
    </row>
    <row r="13" spans="1:33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</row>
    <row r="14" spans="1:33">
      <c r="A14" s="71" t="s">
        <v>296</v>
      </c>
      <c r="B14" s="15">
        <v>1939</v>
      </c>
      <c r="C14" s="15" t="s">
        <v>297</v>
      </c>
      <c r="D14" s="15" t="s">
        <v>298</v>
      </c>
      <c r="E14" s="15" t="s">
        <v>299</v>
      </c>
      <c r="F14" s="26">
        <v>1.1000000000000001</v>
      </c>
      <c r="G14" s="26">
        <v>0.8</v>
      </c>
      <c r="H14" s="15"/>
      <c r="I14" s="15"/>
      <c r="J14" s="15"/>
      <c r="K14" s="15"/>
      <c r="L14" s="15">
        <v>30</v>
      </c>
      <c r="M14" s="15"/>
      <c r="N14" s="15">
        <v>6</v>
      </c>
      <c r="O14" s="15"/>
      <c r="P14" s="15">
        <v>6</v>
      </c>
      <c r="Q14" s="15"/>
      <c r="R14" s="15">
        <v>30</v>
      </c>
      <c r="S14" s="15"/>
      <c r="T14" s="15"/>
      <c r="U14" s="15"/>
      <c r="V14" s="15"/>
      <c r="W14" s="15">
        <v>2</v>
      </c>
      <c r="X14" s="15"/>
      <c r="Y14" s="25">
        <v>10</v>
      </c>
      <c r="Z14" s="15"/>
      <c r="AA14" s="15"/>
      <c r="AB14" s="15"/>
      <c r="AC14">
        <v>2</v>
      </c>
    </row>
    <row r="15" spans="1:33">
      <c r="A15" s="71"/>
      <c r="B15">
        <v>1942</v>
      </c>
      <c r="C15" t="s">
        <v>300</v>
      </c>
      <c r="D15" s="34" t="s">
        <v>301</v>
      </c>
      <c r="E15" t="s">
        <v>302</v>
      </c>
      <c r="F15" s="27">
        <f>F14+5%</f>
        <v>1.1500000000000001</v>
      </c>
      <c r="G15" s="27">
        <f>G14</f>
        <v>0.8</v>
      </c>
      <c r="L15" s="34">
        <f>L14</f>
        <v>30</v>
      </c>
      <c r="N15">
        <f>N14</f>
        <v>6</v>
      </c>
      <c r="P15">
        <f t="shared" ref="P15:P23" si="4">P14+0.5</f>
        <v>6.5</v>
      </c>
      <c r="R15">
        <f t="shared" ref="R15:R23" si="5">R14+5</f>
        <v>35</v>
      </c>
      <c r="W15">
        <f t="shared" ref="W15:W23" si="6">W14</f>
        <v>2</v>
      </c>
      <c r="Y15" s="24">
        <f t="shared" ref="Y15:Y23" si="7">Y14+2</f>
        <v>12</v>
      </c>
      <c r="AC15">
        <v>2</v>
      </c>
    </row>
    <row r="16" spans="1:33">
      <c r="A16" s="71"/>
      <c r="B16">
        <v>1944</v>
      </c>
      <c r="C16" t="s">
        <v>303</v>
      </c>
      <c r="D16" s="34" t="s">
        <v>304</v>
      </c>
      <c r="E16" t="s">
        <v>305</v>
      </c>
      <c r="F16" s="27">
        <f>F15+5%</f>
        <v>1.2000000000000002</v>
      </c>
      <c r="G16" s="27">
        <f>G15</f>
        <v>0.8</v>
      </c>
      <c r="L16" s="34">
        <f>L15</f>
        <v>30</v>
      </c>
      <c r="N16">
        <f t="shared" ref="N16:N23" si="8">N15</f>
        <v>6</v>
      </c>
      <c r="P16">
        <f t="shared" si="4"/>
        <v>7</v>
      </c>
      <c r="R16">
        <f t="shared" si="5"/>
        <v>40</v>
      </c>
      <c r="W16">
        <f t="shared" si="6"/>
        <v>2</v>
      </c>
      <c r="Y16" s="24">
        <f t="shared" si="7"/>
        <v>14</v>
      </c>
      <c r="AC16">
        <v>2</v>
      </c>
    </row>
    <row r="17" spans="1:32">
      <c r="A17" s="71"/>
      <c r="B17">
        <v>1950</v>
      </c>
      <c r="C17" t="s">
        <v>306</v>
      </c>
      <c r="D17" s="34" t="s">
        <v>307</v>
      </c>
      <c r="E17" t="s">
        <v>308</v>
      </c>
      <c r="F17" s="27">
        <f>F16+5%</f>
        <v>1.2500000000000002</v>
      </c>
      <c r="G17" s="27">
        <f>G16</f>
        <v>0.8</v>
      </c>
      <c r="L17" s="34">
        <f>L16</f>
        <v>30</v>
      </c>
      <c r="N17">
        <f t="shared" si="8"/>
        <v>6</v>
      </c>
      <c r="P17">
        <f t="shared" si="4"/>
        <v>7.5</v>
      </c>
      <c r="R17">
        <f t="shared" si="5"/>
        <v>45</v>
      </c>
      <c r="W17">
        <f t="shared" si="6"/>
        <v>2</v>
      </c>
      <c r="Y17" s="24">
        <f t="shared" si="7"/>
        <v>16</v>
      </c>
      <c r="AC17">
        <v>3</v>
      </c>
    </row>
    <row r="18" spans="1:32">
      <c r="A18" s="71"/>
      <c r="B18">
        <v>1960</v>
      </c>
      <c r="C18" t="s">
        <v>309</v>
      </c>
      <c r="D18" s="34" t="s">
        <v>310</v>
      </c>
      <c r="E18" t="s">
        <v>311</v>
      </c>
      <c r="F18" s="27">
        <f>F17+5%</f>
        <v>1.3000000000000003</v>
      </c>
      <c r="G18" s="27">
        <f>G17</f>
        <v>0.8</v>
      </c>
      <c r="L18" s="34">
        <f>L17</f>
        <v>30</v>
      </c>
      <c r="N18">
        <f t="shared" si="8"/>
        <v>6</v>
      </c>
      <c r="P18">
        <f t="shared" si="4"/>
        <v>8</v>
      </c>
      <c r="R18">
        <f t="shared" si="5"/>
        <v>50</v>
      </c>
      <c r="W18">
        <f t="shared" si="6"/>
        <v>2</v>
      </c>
      <c r="Y18" s="24">
        <f t="shared" si="7"/>
        <v>18</v>
      </c>
      <c r="AC18">
        <v>3</v>
      </c>
    </row>
    <row r="19" spans="1:32">
      <c r="A19" s="71"/>
      <c r="B19">
        <v>1970</v>
      </c>
      <c r="C19" t="s">
        <v>312</v>
      </c>
      <c r="D19" s="34" t="s">
        <v>313</v>
      </c>
      <c r="E19" t="s">
        <v>314</v>
      </c>
      <c r="F19" s="27">
        <f>F18+5%</f>
        <v>1.3500000000000003</v>
      </c>
      <c r="G19" s="27">
        <f>G18</f>
        <v>0.8</v>
      </c>
      <c r="L19" s="34">
        <f>L18</f>
        <v>30</v>
      </c>
      <c r="N19">
        <f t="shared" si="8"/>
        <v>6</v>
      </c>
      <c r="P19">
        <f t="shared" si="4"/>
        <v>8.5</v>
      </c>
      <c r="R19">
        <f t="shared" si="5"/>
        <v>55</v>
      </c>
      <c r="W19">
        <f t="shared" si="6"/>
        <v>2</v>
      </c>
      <c r="Y19" s="24">
        <f t="shared" si="7"/>
        <v>20</v>
      </c>
      <c r="AC19">
        <v>3</v>
      </c>
    </row>
    <row r="20" spans="1:32">
      <c r="A20" s="71"/>
      <c r="B20">
        <v>1980</v>
      </c>
      <c r="C20" t="s">
        <v>315</v>
      </c>
      <c r="D20" s="34" t="s">
        <v>316</v>
      </c>
      <c r="E20" t="s">
        <v>317</v>
      </c>
      <c r="F20" s="27">
        <f>F19+5%</f>
        <v>1.4000000000000004</v>
      </c>
      <c r="G20" s="27">
        <f>G19</f>
        <v>0.8</v>
      </c>
      <c r="L20" s="34">
        <f>L19</f>
        <v>30</v>
      </c>
      <c r="N20">
        <f t="shared" si="8"/>
        <v>6</v>
      </c>
      <c r="P20">
        <f t="shared" si="4"/>
        <v>9</v>
      </c>
      <c r="R20">
        <f t="shared" si="5"/>
        <v>60</v>
      </c>
      <c r="W20">
        <f t="shared" si="6"/>
        <v>2</v>
      </c>
      <c r="Y20" s="24">
        <f t="shared" si="7"/>
        <v>22</v>
      </c>
      <c r="AC20">
        <v>3</v>
      </c>
    </row>
    <row r="21" spans="1:32">
      <c r="A21" s="71"/>
      <c r="B21">
        <v>1990</v>
      </c>
      <c r="C21" t="s">
        <v>318</v>
      </c>
      <c r="D21" s="34" t="s">
        <v>319</v>
      </c>
      <c r="E21" t="s">
        <v>320</v>
      </c>
      <c r="F21" s="27">
        <f>F20+5%</f>
        <v>1.4500000000000004</v>
      </c>
      <c r="G21" s="27">
        <f>G20</f>
        <v>0.8</v>
      </c>
      <c r="L21" s="34">
        <f>L20</f>
        <v>30</v>
      </c>
      <c r="N21">
        <f t="shared" si="8"/>
        <v>6</v>
      </c>
      <c r="P21">
        <f t="shared" si="4"/>
        <v>9.5</v>
      </c>
      <c r="R21">
        <f t="shared" si="5"/>
        <v>65</v>
      </c>
      <c r="W21">
        <f t="shared" si="6"/>
        <v>2</v>
      </c>
      <c r="Y21" s="24">
        <f t="shared" si="7"/>
        <v>24</v>
      </c>
      <c r="AC21">
        <v>3</v>
      </c>
    </row>
    <row r="22" spans="1:32">
      <c r="A22" s="71"/>
      <c r="B22">
        <v>2010</v>
      </c>
      <c r="C22" t="s">
        <v>321</v>
      </c>
      <c r="D22" s="34" t="s">
        <v>322</v>
      </c>
      <c r="E22" t="s">
        <v>323</v>
      </c>
      <c r="F22" s="27">
        <f>F21+5%</f>
        <v>1.5000000000000004</v>
      </c>
      <c r="G22" s="27">
        <f>G21</f>
        <v>0.8</v>
      </c>
      <c r="L22" s="34">
        <f>L21</f>
        <v>30</v>
      </c>
      <c r="N22">
        <f t="shared" si="8"/>
        <v>6</v>
      </c>
      <c r="P22">
        <f t="shared" si="4"/>
        <v>10</v>
      </c>
      <c r="R22">
        <f t="shared" si="5"/>
        <v>70</v>
      </c>
      <c r="W22">
        <f t="shared" si="6"/>
        <v>2</v>
      </c>
      <c r="Y22" s="24">
        <f t="shared" si="7"/>
        <v>26</v>
      </c>
      <c r="AC22">
        <v>3</v>
      </c>
    </row>
    <row r="23" spans="1:32">
      <c r="A23" s="71"/>
      <c r="B23">
        <v>2020</v>
      </c>
      <c r="C23" t="s">
        <v>324</v>
      </c>
      <c r="D23" s="34" t="s">
        <v>325</v>
      </c>
      <c r="E23" t="s">
        <v>326</v>
      </c>
      <c r="F23" s="27">
        <f>F22+5%</f>
        <v>1.5500000000000005</v>
      </c>
      <c r="G23" s="27">
        <f>G22</f>
        <v>0.8</v>
      </c>
      <c r="L23" s="34">
        <f>L22</f>
        <v>30</v>
      </c>
      <c r="N23">
        <f t="shared" si="8"/>
        <v>6</v>
      </c>
      <c r="P23">
        <f t="shared" si="4"/>
        <v>10.5</v>
      </c>
      <c r="R23">
        <f t="shared" si="5"/>
        <v>75</v>
      </c>
      <c r="W23">
        <f t="shared" si="6"/>
        <v>2</v>
      </c>
      <c r="Y23" s="24">
        <f t="shared" si="7"/>
        <v>28</v>
      </c>
      <c r="AC23">
        <v>3</v>
      </c>
    </row>
    <row r="24" spans="1:32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</row>
    <row r="25" spans="1:32">
      <c r="A25" s="71" t="s">
        <v>327</v>
      </c>
      <c r="B25" s="15">
        <v>1939</v>
      </c>
      <c r="C25" s="15" t="s">
        <v>328</v>
      </c>
      <c r="D25" s="15" t="s">
        <v>329</v>
      </c>
      <c r="E25" s="15" t="s">
        <v>330</v>
      </c>
      <c r="F25" s="26">
        <v>1.2</v>
      </c>
      <c r="G25" s="33">
        <v>0.85</v>
      </c>
      <c r="H25" s="15"/>
      <c r="I25" s="15"/>
      <c r="J25" s="15"/>
      <c r="K25" s="15"/>
      <c r="L25" s="15">
        <v>35</v>
      </c>
      <c r="M25" s="15"/>
      <c r="N25" s="15">
        <v>4</v>
      </c>
      <c r="O25" s="15"/>
      <c r="P25" s="15">
        <v>5</v>
      </c>
      <c r="Q25" s="15"/>
      <c r="R25" s="15">
        <v>45</v>
      </c>
      <c r="S25" s="15"/>
      <c r="T25" s="15"/>
      <c r="U25" s="15"/>
      <c r="V25" s="15"/>
      <c r="W25" s="15">
        <v>2</v>
      </c>
      <c r="X25" s="15"/>
      <c r="Y25" s="25">
        <v>15</v>
      </c>
      <c r="Z25" s="15"/>
      <c r="AA25" s="15"/>
      <c r="AB25" s="15"/>
      <c r="AC25">
        <v>3</v>
      </c>
    </row>
    <row r="26" spans="1:32">
      <c r="A26" s="71"/>
      <c r="B26">
        <v>1942</v>
      </c>
      <c r="C26" t="s">
        <v>331</v>
      </c>
      <c r="D26" t="s">
        <v>332</v>
      </c>
      <c r="E26" t="s">
        <v>333</v>
      </c>
      <c r="F26" s="27">
        <f>F25+5%</f>
        <v>1.25</v>
      </c>
      <c r="G26" s="27">
        <f>G25</f>
        <v>0.85</v>
      </c>
      <c r="L26" s="34">
        <f>L25</f>
        <v>35</v>
      </c>
      <c r="N26">
        <f>N25</f>
        <v>4</v>
      </c>
      <c r="P26">
        <f t="shared" ref="P26:P29" si="9">P25+0.5</f>
        <v>5.5</v>
      </c>
      <c r="R26">
        <f t="shared" ref="R26:R29" si="10">R25+5</f>
        <v>50</v>
      </c>
      <c r="W26">
        <f t="shared" ref="W26:W29" si="11">W25</f>
        <v>2</v>
      </c>
      <c r="Y26" s="24">
        <f>Y25+2.5</f>
        <v>17.5</v>
      </c>
      <c r="AC26">
        <v>3</v>
      </c>
    </row>
    <row r="27" spans="1:32">
      <c r="A27" s="71"/>
      <c r="B27">
        <v>1944</v>
      </c>
      <c r="C27" t="s">
        <v>334</v>
      </c>
      <c r="D27" t="s">
        <v>335</v>
      </c>
      <c r="E27" t="s">
        <v>336</v>
      </c>
      <c r="F27" s="27">
        <f>F26+5%</f>
        <v>1.3</v>
      </c>
      <c r="G27" s="27">
        <f>G26</f>
        <v>0.85</v>
      </c>
      <c r="L27" s="34">
        <f>L26</f>
        <v>35</v>
      </c>
      <c r="N27">
        <f t="shared" ref="N27:N29" si="12">N26</f>
        <v>4</v>
      </c>
      <c r="P27">
        <f t="shared" si="9"/>
        <v>6</v>
      </c>
      <c r="R27">
        <f t="shared" si="10"/>
        <v>55</v>
      </c>
      <c r="W27">
        <f t="shared" si="11"/>
        <v>2</v>
      </c>
      <c r="Y27" s="24">
        <f t="shared" ref="Y27:Y29" si="13">Y26+2.5</f>
        <v>20</v>
      </c>
      <c r="AC27">
        <v>3</v>
      </c>
    </row>
    <row r="28" spans="1:32">
      <c r="A28" s="71"/>
      <c r="B28">
        <v>1950</v>
      </c>
      <c r="C28" t="s">
        <v>337</v>
      </c>
      <c r="D28" t="s">
        <v>338</v>
      </c>
      <c r="E28" t="s">
        <v>339</v>
      </c>
      <c r="F28" s="27">
        <f>F27+5%</f>
        <v>1.35</v>
      </c>
      <c r="G28" s="27">
        <f>G27</f>
        <v>0.85</v>
      </c>
      <c r="L28" s="34">
        <f>L27</f>
        <v>35</v>
      </c>
      <c r="N28">
        <f t="shared" si="12"/>
        <v>4</v>
      </c>
      <c r="P28">
        <f t="shared" si="9"/>
        <v>6.5</v>
      </c>
      <c r="R28">
        <f t="shared" si="10"/>
        <v>60</v>
      </c>
      <c r="W28">
        <f t="shared" si="11"/>
        <v>2</v>
      </c>
      <c r="Y28" s="24">
        <f t="shared" si="13"/>
        <v>22.5</v>
      </c>
      <c r="AC28">
        <v>4</v>
      </c>
    </row>
    <row r="29" spans="1:32">
      <c r="A29" s="71"/>
      <c r="B29">
        <v>1955</v>
      </c>
      <c r="C29" t="s">
        <v>340</v>
      </c>
      <c r="D29" t="s">
        <v>341</v>
      </c>
      <c r="E29" t="s">
        <v>342</v>
      </c>
      <c r="F29" s="27">
        <f>F28+5%</f>
        <v>1.4000000000000001</v>
      </c>
      <c r="G29" s="27">
        <f>G28</f>
        <v>0.85</v>
      </c>
      <c r="L29" s="34">
        <f>L28</f>
        <v>35</v>
      </c>
      <c r="N29">
        <f t="shared" si="12"/>
        <v>4</v>
      </c>
      <c r="P29">
        <f t="shared" si="9"/>
        <v>7</v>
      </c>
      <c r="R29">
        <f t="shared" si="10"/>
        <v>65</v>
      </c>
      <c r="W29">
        <f t="shared" si="11"/>
        <v>2</v>
      </c>
      <c r="Y29" s="24">
        <f t="shared" si="13"/>
        <v>25</v>
      </c>
      <c r="AC29">
        <v>4</v>
      </c>
    </row>
  </sheetData>
  <mergeCells count="11">
    <mergeCell ref="A25:A29"/>
    <mergeCell ref="E1:E2"/>
    <mergeCell ref="A1:A2"/>
    <mergeCell ref="B1:B2"/>
    <mergeCell ref="C1:D1"/>
    <mergeCell ref="F1:AA1"/>
    <mergeCell ref="AB1:AF1"/>
    <mergeCell ref="A13:AF13"/>
    <mergeCell ref="A24:AF24"/>
    <mergeCell ref="A3:A12"/>
    <mergeCell ref="A14:A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A7383-9985-4255-8C46-69E8C0937010}">
  <dimension ref="A1:AI46"/>
  <sheetViews>
    <sheetView topLeftCell="T1" workbookViewId="0">
      <selection activeCell="X39" sqref="X39:AB41"/>
    </sheetView>
  </sheetViews>
  <sheetFormatPr defaultRowHeight="15"/>
  <cols>
    <col min="1" max="1" width="29.5703125" customWidth="1"/>
    <col min="2" max="2" width="25" customWidth="1"/>
    <col min="4" max="4" width="42" customWidth="1"/>
    <col min="5" max="5" width="28.140625" customWidth="1"/>
    <col min="6" max="6" width="39.140625" customWidth="1"/>
    <col min="7" max="7" width="11.42578125" customWidth="1"/>
    <col min="8" max="8" width="12.7109375" customWidth="1"/>
    <col min="9" max="9" width="14" customWidth="1"/>
    <col min="10" max="10" width="12" customWidth="1"/>
    <col min="11" max="11" width="13.5703125" customWidth="1"/>
    <col min="12" max="12" width="13.85546875" customWidth="1"/>
    <col min="13" max="13" width="16" customWidth="1"/>
    <col min="14" max="15" width="13.28515625" customWidth="1"/>
    <col min="16" max="16" width="11" customWidth="1"/>
    <col min="17" max="19" width="13.140625" customWidth="1"/>
    <col min="20" max="21" width="11" customWidth="1"/>
    <col min="22" max="22" width="18.42578125" customWidth="1"/>
    <col min="23" max="23" width="21.28515625" customWidth="1"/>
    <col min="24" max="24" width="16.85546875" customWidth="1"/>
    <col min="25" max="25" width="19.28515625" customWidth="1"/>
    <col min="26" max="26" width="14.5703125" customWidth="1"/>
    <col min="27" max="27" width="17.42578125" customWidth="1"/>
    <col min="28" max="28" width="15.85546875" customWidth="1"/>
    <col min="29" max="29" width="15.7109375" customWidth="1"/>
    <col min="30" max="30" width="19.28515625" customWidth="1"/>
    <col min="31" max="31" width="12.42578125" customWidth="1"/>
    <col min="32" max="32" width="16.7109375" customWidth="1"/>
    <col min="33" max="33" width="15.85546875" customWidth="1"/>
  </cols>
  <sheetData>
    <row r="1" spans="1:35">
      <c r="A1" s="74" t="s">
        <v>2</v>
      </c>
      <c r="B1" s="74"/>
      <c r="C1" s="74" t="s">
        <v>3</v>
      </c>
      <c r="D1" s="74" t="s">
        <v>240</v>
      </c>
      <c r="E1" s="74"/>
      <c r="F1" s="74" t="s">
        <v>5</v>
      </c>
      <c r="G1" s="72" t="s">
        <v>121</v>
      </c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5" t="s">
        <v>241</v>
      </c>
      <c r="AD1" s="75"/>
      <c r="AE1" s="75"/>
      <c r="AF1" s="75"/>
      <c r="AG1" s="75"/>
    </row>
    <row r="2" spans="1:35">
      <c r="A2" s="74"/>
      <c r="B2" s="74"/>
      <c r="C2" s="74"/>
      <c r="D2" s="70" t="s">
        <v>242</v>
      </c>
      <c r="E2" s="70" t="s">
        <v>243</v>
      </c>
      <c r="F2" s="74"/>
      <c r="G2" s="66" t="s">
        <v>244</v>
      </c>
      <c r="H2" s="66" t="s">
        <v>124</v>
      </c>
      <c r="I2" s="66" t="s">
        <v>246</v>
      </c>
      <c r="J2" s="66" t="s">
        <v>125</v>
      </c>
      <c r="K2" s="66" t="s">
        <v>247</v>
      </c>
      <c r="L2" s="66" t="s">
        <v>248</v>
      </c>
      <c r="M2" s="66" t="s">
        <v>249</v>
      </c>
      <c r="N2" s="66" t="s">
        <v>250</v>
      </c>
      <c r="O2" s="66" t="s">
        <v>251</v>
      </c>
      <c r="P2" s="66" t="s">
        <v>127</v>
      </c>
      <c r="Q2" s="66" t="s">
        <v>252</v>
      </c>
      <c r="R2" s="66" t="s">
        <v>8</v>
      </c>
      <c r="S2" s="66" t="s">
        <v>253</v>
      </c>
      <c r="T2" s="66" t="s">
        <v>112</v>
      </c>
      <c r="U2" s="66" t="s">
        <v>343</v>
      </c>
      <c r="V2" s="66" t="s">
        <v>254</v>
      </c>
      <c r="W2" s="66" t="s">
        <v>255</v>
      </c>
      <c r="X2" s="66" t="s">
        <v>256</v>
      </c>
      <c r="Y2" s="66" t="s">
        <v>257</v>
      </c>
      <c r="Z2" s="23" t="s">
        <v>9</v>
      </c>
      <c r="AA2" s="66" t="s">
        <v>258</v>
      </c>
      <c r="AB2" s="66" t="s">
        <v>259</v>
      </c>
      <c r="AC2" s="66" t="s">
        <v>260</v>
      </c>
      <c r="AD2" s="66" t="s">
        <v>261</v>
      </c>
      <c r="AE2" s="66" t="s">
        <v>262</v>
      </c>
      <c r="AF2" s="66" t="s">
        <v>263</v>
      </c>
      <c r="AG2" s="66" t="s">
        <v>264</v>
      </c>
    </row>
    <row r="3" spans="1:35">
      <c r="A3" s="71" t="s">
        <v>344</v>
      </c>
      <c r="B3" s="71" t="s">
        <v>345</v>
      </c>
      <c r="C3" s="15">
        <v>1942</v>
      </c>
      <c r="D3" s="15" t="s">
        <v>346</v>
      </c>
      <c r="E3" s="15" t="s">
        <v>346</v>
      </c>
      <c r="F3" s="15" t="s">
        <v>347</v>
      </c>
      <c r="G3" s="26">
        <v>-0.02</v>
      </c>
      <c r="H3" s="15"/>
      <c r="I3" s="39">
        <v>2.5000000000000001E-2</v>
      </c>
      <c r="J3" s="15"/>
      <c r="K3" s="39">
        <v>2.5000000000000001E-2</v>
      </c>
      <c r="L3" s="15">
        <v>3</v>
      </c>
      <c r="M3" s="15"/>
      <c r="N3" s="15">
        <v>1</v>
      </c>
      <c r="O3" s="15"/>
      <c r="P3" s="15"/>
      <c r="Q3" s="15"/>
      <c r="R3" s="15"/>
      <c r="S3" s="15"/>
      <c r="T3" s="15"/>
      <c r="U3" s="15"/>
      <c r="V3" s="15"/>
      <c r="W3" s="26">
        <v>0.01</v>
      </c>
      <c r="X3" s="15"/>
      <c r="Y3" s="15"/>
      <c r="Z3" s="25">
        <v>1.5</v>
      </c>
      <c r="AB3" s="15">
        <v>0.1</v>
      </c>
    </row>
    <row r="4" spans="1:35">
      <c r="A4" s="71"/>
      <c r="B4" s="71"/>
      <c r="C4">
        <v>1944</v>
      </c>
      <c r="D4" t="s">
        <v>348</v>
      </c>
      <c r="E4" t="s">
        <v>349</v>
      </c>
      <c r="F4" t="s">
        <v>350</v>
      </c>
      <c r="G4" s="27">
        <f>G3*2</f>
        <v>-0.04</v>
      </c>
      <c r="I4" s="27">
        <f>I3*2</f>
        <v>0.05</v>
      </c>
      <c r="K4" s="27">
        <f>K3*2</f>
        <v>0.05</v>
      </c>
      <c r="L4">
        <f>L3+2</f>
        <v>5</v>
      </c>
      <c r="N4">
        <f>N3*2</f>
        <v>2</v>
      </c>
      <c r="W4" s="27">
        <f>W3+1%</f>
        <v>0.02</v>
      </c>
      <c r="X4">
        <f>X3+0.1</f>
        <v>0.1</v>
      </c>
      <c r="Z4" s="24">
        <f>Z3*2</f>
        <v>3</v>
      </c>
      <c r="AB4">
        <f>AB3*4</f>
        <v>0.4</v>
      </c>
    </row>
    <row r="5" spans="1:35">
      <c r="A5" s="71"/>
      <c r="B5" s="71" t="s">
        <v>351</v>
      </c>
      <c r="C5" s="15">
        <v>1950</v>
      </c>
      <c r="D5" s="21" t="s">
        <v>352</v>
      </c>
      <c r="E5" s="15" t="s">
        <v>353</v>
      </c>
      <c r="F5" s="21" t="s">
        <v>354</v>
      </c>
      <c r="G5" s="26">
        <v>-0.06</v>
      </c>
      <c r="H5" s="15"/>
      <c r="I5" s="26">
        <v>0.1</v>
      </c>
      <c r="J5" s="15"/>
      <c r="K5" s="26">
        <v>0.1</v>
      </c>
      <c r="L5" s="15">
        <v>4</v>
      </c>
      <c r="M5" s="15"/>
      <c r="N5" s="15">
        <v>3</v>
      </c>
      <c r="O5" s="15"/>
      <c r="P5" s="15"/>
      <c r="Q5" s="15"/>
      <c r="R5" s="15"/>
      <c r="S5" s="26">
        <v>-0.05</v>
      </c>
      <c r="T5" s="15"/>
      <c r="U5" s="15"/>
      <c r="V5" s="15"/>
      <c r="W5" s="26">
        <v>0.06</v>
      </c>
      <c r="X5" s="15"/>
      <c r="Y5" s="15"/>
      <c r="Z5" s="25">
        <v>4</v>
      </c>
      <c r="AA5" s="15"/>
      <c r="AB5" s="15">
        <v>0.6</v>
      </c>
      <c r="AC5" s="15"/>
      <c r="AD5" s="15"/>
      <c r="AE5" s="15"/>
      <c r="AF5" s="15"/>
      <c r="AG5" s="15"/>
      <c r="AH5" s="15"/>
      <c r="AI5" s="15"/>
    </row>
    <row r="6" spans="1:35">
      <c r="A6" s="71"/>
      <c r="B6" s="71"/>
      <c r="C6">
        <v>1980</v>
      </c>
      <c r="D6" s="19" t="s">
        <v>355</v>
      </c>
      <c r="E6" t="s">
        <v>356</v>
      </c>
      <c r="F6" s="19" t="s">
        <v>357</v>
      </c>
      <c r="G6" s="27">
        <f>G5-10%</f>
        <v>-0.16</v>
      </c>
      <c r="I6" s="28">
        <f>I5+7.5%</f>
        <v>0.17499999999999999</v>
      </c>
      <c r="K6" s="28">
        <f>K5+7.5%</f>
        <v>0.17499999999999999</v>
      </c>
      <c r="L6">
        <f>L5+6</f>
        <v>10</v>
      </c>
      <c r="N6">
        <f>N5+2</f>
        <v>5</v>
      </c>
      <c r="P6">
        <f>P5+0.2</f>
        <v>0.2</v>
      </c>
      <c r="S6" s="28">
        <f>S5+2.5%</f>
        <v>-2.5000000000000001E-2</v>
      </c>
      <c r="W6" s="27">
        <f>W5+4%</f>
        <v>0.1</v>
      </c>
      <c r="X6">
        <f>X5+0.5</f>
        <v>0.5</v>
      </c>
      <c r="Z6" s="24">
        <f>Z5+2</f>
        <v>6</v>
      </c>
      <c r="AB6">
        <f>AB5+0.2</f>
        <v>0.8</v>
      </c>
      <c r="AF6">
        <v>1</v>
      </c>
    </row>
    <row r="7" spans="1:35">
      <c r="A7" s="71"/>
      <c r="B7" s="76" t="s">
        <v>358</v>
      </c>
      <c r="C7" s="15">
        <v>1960</v>
      </c>
      <c r="D7" s="29" t="s">
        <v>359</v>
      </c>
      <c r="E7" s="15" t="s">
        <v>360</v>
      </c>
      <c r="F7" s="29" t="s">
        <v>361</v>
      </c>
      <c r="G7" s="26">
        <v>-0.2</v>
      </c>
      <c r="H7" s="15"/>
      <c r="I7" s="26">
        <v>0.1</v>
      </c>
      <c r="J7" s="15"/>
      <c r="K7" s="26">
        <v>0.1</v>
      </c>
      <c r="L7" s="15">
        <v>10</v>
      </c>
      <c r="M7" s="15"/>
      <c r="N7" s="15">
        <v>-8</v>
      </c>
      <c r="O7" s="26"/>
      <c r="P7" s="15">
        <v>0.5</v>
      </c>
      <c r="Q7" s="15"/>
      <c r="R7" s="15"/>
      <c r="S7" s="26">
        <v>0.3</v>
      </c>
      <c r="T7" s="15"/>
      <c r="U7" s="15"/>
      <c r="V7" s="15"/>
      <c r="W7" s="26">
        <v>0.08</v>
      </c>
      <c r="X7" s="15">
        <v>0.2</v>
      </c>
      <c r="Y7" s="15"/>
      <c r="Z7" s="25">
        <v>5</v>
      </c>
      <c r="AB7" s="15">
        <v>1.5</v>
      </c>
    </row>
    <row r="8" spans="1:35">
      <c r="A8" s="71"/>
      <c r="B8" s="76"/>
      <c r="C8">
        <v>1970</v>
      </c>
      <c r="D8" s="8" t="s">
        <v>362</v>
      </c>
      <c r="E8" t="s">
        <v>363</v>
      </c>
      <c r="F8" s="8" t="s">
        <v>364</v>
      </c>
      <c r="G8" s="28">
        <f>G7+2.5%</f>
        <v>-0.17500000000000002</v>
      </c>
      <c r="I8" s="28">
        <f>I7-2.5%</f>
        <v>7.5000000000000011E-2</v>
      </c>
      <c r="K8" s="28">
        <f>K7-2.5%</f>
        <v>7.5000000000000011E-2</v>
      </c>
      <c r="L8">
        <f>L7+2</f>
        <v>12</v>
      </c>
      <c r="N8">
        <f>N7+2</f>
        <v>-6</v>
      </c>
      <c r="O8" s="28"/>
      <c r="P8">
        <f>P7</f>
        <v>0.5</v>
      </c>
      <c r="S8" s="27">
        <f>S7</f>
        <v>0.3</v>
      </c>
      <c r="W8" s="32">
        <f>W7</f>
        <v>0.08</v>
      </c>
      <c r="X8">
        <f>X7+0.2</f>
        <v>0.4</v>
      </c>
      <c r="Z8" s="24">
        <f>Z7+1</f>
        <v>6</v>
      </c>
      <c r="AB8">
        <f>AB7</f>
        <v>1.5</v>
      </c>
      <c r="AF8">
        <v>1</v>
      </c>
    </row>
    <row r="9" spans="1:35">
      <c r="A9" s="71"/>
      <c r="B9" s="76"/>
      <c r="C9">
        <v>1990</v>
      </c>
      <c r="D9" s="8" t="s">
        <v>365</v>
      </c>
      <c r="E9" t="s">
        <v>366</v>
      </c>
      <c r="F9" s="8" t="s">
        <v>367</v>
      </c>
      <c r="G9" s="27">
        <f>G8+2.5%</f>
        <v>-0.15000000000000002</v>
      </c>
      <c r="I9" s="28">
        <f>I7+2.5%</f>
        <v>0.125</v>
      </c>
      <c r="K9" s="28">
        <f>K7+2.5%</f>
        <v>0.125</v>
      </c>
      <c r="L9">
        <f>L8+2</f>
        <v>14</v>
      </c>
      <c r="N9">
        <f>N8+2</f>
        <v>-4</v>
      </c>
      <c r="O9" s="27"/>
      <c r="P9">
        <f>P8</f>
        <v>0.5</v>
      </c>
      <c r="S9" s="27">
        <f>S8</f>
        <v>0.3</v>
      </c>
      <c r="W9" s="32">
        <f>W8</f>
        <v>0.08</v>
      </c>
      <c r="X9">
        <f>X8+0.2</f>
        <v>0.60000000000000009</v>
      </c>
      <c r="Z9" s="24">
        <f>Z8+1</f>
        <v>7</v>
      </c>
      <c r="AB9">
        <f>AB8</f>
        <v>1.5</v>
      </c>
      <c r="AF9">
        <v>1</v>
      </c>
    </row>
    <row r="10" spans="1:35">
      <c r="A10" s="71"/>
      <c r="B10" s="76"/>
      <c r="C10">
        <v>2010</v>
      </c>
      <c r="D10" s="8" t="s">
        <v>368</v>
      </c>
      <c r="E10" t="s">
        <v>369</v>
      </c>
      <c r="F10" s="8" t="s">
        <v>370</v>
      </c>
      <c r="G10" s="28">
        <f>G9+2.5%</f>
        <v>-0.12500000000000003</v>
      </c>
      <c r="I10" s="27">
        <f>I9+2.5%</f>
        <v>0.15</v>
      </c>
      <c r="K10" s="27">
        <f>K9+2.5%</f>
        <v>0.15</v>
      </c>
      <c r="L10">
        <f>L9+2</f>
        <v>16</v>
      </c>
      <c r="N10">
        <f>N9+2</f>
        <v>-2</v>
      </c>
      <c r="O10" s="28"/>
      <c r="P10">
        <f>P9</f>
        <v>0.5</v>
      </c>
      <c r="S10" s="27">
        <f>S9</f>
        <v>0.3</v>
      </c>
      <c r="W10" s="32">
        <f>W9</f>
        <v>0.08</v>
      </c>
      <c r="X10">
        <f>X9+0.2</f>
        <v>0.8</v>
      </c>
      <c r="Z10" s="24">
        <f>Z9+1</f>
        <v>8</v>
      </c>
      <c r="AB10">
        <f>AB9</f>
        <v>1.5</v>
      </c>
      <c r="AF10">
        <v>1</v>
      </c>
    </row>
    <row r="11" spans="1:35">
      <c r="A11" s="71"/>
      <c r="B11" s="76" t="s">
        <v>371</v>
      </c>
      <c r="C11" s="15">
        <v>1965</v>
      </c>
      <c r="D11" s="31" t="s">
        <v>372</v>
      </c>
      <c r="E11" s="15" t="s">
        <v>373</v>
      </c>
      <c r="F11" s="31" t="s">
        <v>374</v>
      </c>
      <c r="G11" s="26">
        <v>-0.15</v>
      </c>
      <c r="H11" s="15"/>
      <c r="I11" s="39">
        <v>0.125</v>
      </c>
      <c r="J11" s="15"/>
      <c r="K11" s="39">
        <v>0.125</v>
      </c>
      <c r="L11" s="15">
        <v>11</v>
      </c>
      <c r="M11" s="15"/>
      <c r="N11" s="15">
        <v>-5</v>
      </c>
      <c r="O11" s="15"/>
      <c r="P11" s="15">
        <v>0.35</v>
      </c>
      <c r="Q11" s="15"/>
      <c r="R11" s="15"/>
      <c r="S11" s="26">
        <v>0.15</v>
      </c>
      <c r="T11" s="15"/>
      <c r="U11" s="15"/>
      <c r="V11" s="15"/>
      <c r="W11" s="26">
        <v>0.12</v>
      </c>
      <c r="X11" s="15">
        <v>0.35</v>
      </c>
      <c r="Y11" s="15"/>
      <c r="Z11" s="25">
        <v>5.5</v>
      </c>
      <c r="AA11" s="15"/>
      <c r="AB11" s="15">
        <v>1.2</v>
      </c>
      <c r="AC11" s="15"/>
      <c r="AF11">
        <v>1</v>
      </c>
    </row>
    <row r="12" spans="1:35">
      <c r="A12" s="71"/>
      <c r="B12" s="76"/>
      <c r="C12">
        <v>1985</v>
      </c>
      <c r="D12" s="20" t="s">
        <v>375</v>
      </c>
      <c r="E12" t="s">
        <v>376</v>
      </c>
      <c r="F12" s="35" t="s">
        <v>377</v>
      </c>
      <c r="G12" s="28">
        <f>G11+2.5%</f>
        <v>-0.125</v>
      </c>
      <c r="I12" s="27">
        <f>I11+2.5%</f>
        <v>0.15</v>
      </c>
      <c r="K12" s="27">
        <f>K11+2.5%</f>
        <v>0.15</v>
      </c>
      <c r="L12">
        <f>L11+3</f>
        <v>14</v>
      </c>
      <c r="N12">
        <f>N11+3</f>
        <v>-2</v>
      </c>
      <c r="P12">
        <f>P11</f>
        <v>0.35</v>
      </c>
      <c r="S12" s="27">
        <f>S11</f>
        <v>0.15</v>
      </c>
      <c r="W12" s="32">
        <f>W11</f>
        <v>0.12</v>
      </c>
      <c r="X12">
        <f>X11+0.3</f>
        <v>0.64999999999999991</v>
      </c>
      <c r="Z12" s="24">
        <f>Z11+1</f>
        <v>6.5</v>
      </c>
      <c r="AB12">
        <f>AB11</f>
        <v>1.2</v>
      </c>
      <c r="AF12">
        <v>1</v>
      </c>
    </row>
    <row r="13" spans="1:35">
      <c r="A13" s="71"/>
      <c r="B13" s="76"/>
      <c r="C13">
        <v>2005</v>
      </c>
      <c r="D13" s="20" t="s">
        <v>378</v>
      </c>
      <c r="E13" t="s">
        <v>379</v>
      </c>
      <c r="F13" s="35" t="s">
        <v>380</v>
      </c>
      <c r="G13" s="27">
        <f>G12+2.5%</f>
        <v>-0.1</v>
      </c>
      <c r="I13" s="28">
        <f>I12+2.5%</f>
        <v>0.17499999999999999</v>
      </c>
      <c r="K13" s="28">
        <f>K12+2.5%</f>
        <v>0.17499999999999999</v>
      </c>
      <c r="L13">
        <f>L12+3</f>
        <v>17</v>
      </c>
      <c r="N13">
        <f>N12+3</f>
        <v>1</v>
      </c>
      <c r="P13">
        <f>P12</f>
        <v>0.35</v>
      </c>
      <c r="S13" s="27">
        <f>S12</f>
        <v>0.15</v>
      </c>
      <c r="W13" s="32">
        <f>W12</f>
        <v>0.12</v>
      </c>
      <c r="X13">
        <f>X12+0.3</f>
        <v>0.95</v>
      </c>
      <c r="Z13" s="24">
        <f>Z12+1</f>
        <v>7.5</v>
      </c>
      <c r="AB13">
        <f>AB12</f>
        <v>1.2</v>
      </c>
      <c r="AF13">
        <v>1</v>
      </c>
    </row>
    <row r="14" spans="1:35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</row>
    <row r="15" spans="1:35">
      <c r="A15" s="71" t="s">
        <v>381</v>
      </c>
      <c r="B15" s="71"/>
      <c r="C15" s="15">
        <v>1939</v>
      </c>
      <c r="D15" s="15" t="s">
        <v>382</v>
      </c>
      <c r="E15" s="15" t="s">
        <v>383</v>
      </c>
      <c r="F15" s="15" t="s">
        <v>384</v>
      </c>
      <c r="G15" s="15"/>
      <c r="H15" s="15"/>
      <c r="I15" s="15"/>
      <c r="J15" s="15"/>
      <c r="K15" s="15"/>
      <c r="L15" s="15">
        <v>1</v>
      </c>
      <c r="M15" s="15"/>
      <c r="N15" s="30">
        <v>0.5</v>
      </c>
      <c r="O15" s="15"/>
      <c r="X15" s="15">
        <v>0</v>
      </c>
      <c r="Y15" s="15"/>
      <c r="Z15" s="25">
        <v>0.5</v>
      </c>
      <c r="AB15" s="15">
        <v>0.1</v>
      </c>
    </row>
    <row r="16" spans="1:35">
      <c r="A16" s="71"/>
      <c r="B16" s="71"/>
      <c r="C16">
        <v>1942</v>
      </c>
      <c r="D16" t="s">
        <v>385</v>
      </c>
      <c r="E16" t="s">
        <v>386</v>
      </c>
      <c r="F16" t="s">
        <v>387</v>
      </c>
      <c r="G16" s="27">
        <f>G15-5%</f>
        <v>-0.05</v>
      </c>
      <c r="L16">
        <f>L15*2.5</f>
        <v>2.5</v>
      </c>
      <c r="N16">
        <f>N15*2</f>
        <v>1</v>
      </c>
      <c r="X16">
        <f>X15+0.1</f>
        <v>0.1</v>
      </c>
      <c r="Z16" s="24">
        <f>Z15*4</f>
        <v>2</v>
      </c>
      <c r="AB16">
        <f>AB15+0.05</f>
        <v>0.15000000000000002</v>
      </c>
    </row>
    <row r="17" spans="1:33">
      <c r="A17" s="71"/>
      <c r="B17" s="71"/>
      <c r="C17">
        <v>1955</v>
      </c>
      <c r="D17" t="s">
        <v>388</v>
      </c>
      <c r="E17" t="s">
        <v>389</v>
      </c>
      <c r="F17" t="s">
        <v>390</v>
      </c>
      <c r="G17" s="27">
        <f>G15-5%</f>
        <v>-0.05</v>
      </c>
      <c r="L17">
        <f>L15*5</f>
        <v>5</v>
      </c>
      <c r="N17">
        <f>N15*3</f>
        <v>1.5</v>
      </c>
      <c r="X17">
        <f>X16+0.1</f>
        <v>0.2</v>
      </c>
      <c r="Z17" s="24">
        <f>Z15*7</f>
        <v>3.5</v>
      </c>
      <c r="AB17">
        <f>AB16+0.05</f>
        <v>0.2</v>
      </c>
    </row>
    <row r="18" spans="1:33">
      <c r="A18" s="71"/>
      <c r="B18" s="71"/>
      <c r="C18">
        <v>1970</v>
      </c>
      <c r="D18" t="s">
        <v>391</v>
      </c>
      <c r="E18" t="s">
        <v>392</v>
      </c>
      <c r="F18" t="s">
        <v>393</v>
      </c>
      <c r="G18" s="27">
        <f>G15-4%</f>
        <v>-0.04</v>
      </c>
      <c r="L18">
        <f>L15*7.5</f>
        <v>7.5</v>
      </c>
      <c r="N18">
        <f>N15*4</f>
        <v>2</v>
      </c>
      <c r="X18">
        <f>X17+0.1</f>
        <v>0.30000000000000004</v>
      </c>
      <c r="Z18" s="24">
        <f>Z15*10</f>
        <v>5</v>
      </c>
      <c r="AB18">
        <f>AB17+0.05</f>
        <v>0.25</v>
      </c>
      <c r="AF18">
        <v>1</v>
      </c>
    </row>
    <row r="19" spans="1:33">
      <c r="A19" s="71"/>
      <c r="B19" s="71"/>
      <c r="C19">
        <v>1985</v>
      </c>
      <c r="D19" t="s">
        <v>394</v>
      </c>
      <c r="E19" t="s">
        <v>395</v>
      </c>
      <c r="F19" t="s">
        <v>396</v>
      </c>
      <c r="G19" s="27">
        <f>G15-3%</f>
        <v>-0.03</v>
      </c>
      <c r="L19">
        <f>L15*10</f>
        <v>10</v>
      </c>
      <c r="N19">
        <f>N15*5</f>
        <v>2.5</v>
      </c>
      <c r="X19">
        <f>X18+0.1</f>
        <v>0.4</v>
      </c>
      <c r="Z19" s="24">
        <f>Z15*13</f>
        <v>6.5</v>
      </c>
      <c r="AB19">
        <f>AB18+0.05</f>
        <v>0.3</v>
      </c>
      <c r="AF19">
        <v>1</v>
      </c>
    </row>
    <row r="20" spans="1:33">
      <c r="A20" s="71"/>
      <c r="B20" s="71"/>
      <c r="C20">
        <v>2005</v>
      </c>
      <c r="D20" t="s">
        <v>397</v>
      </c>
      <c r="E20" t="s">
        <v>398</v>
      </c>
      <c r="F20" t="s">
        <v>399</v>
      </c>
      <c r="G20" s="27">
        <f>G15-2%</f>
        <v>-0.02</v>
      </c>
      <c r="L20">
        <f>L15*12.5</f>
        <v>12.5</v>
      </c>
      <c r="N20">
        <f>N15*6</f>
        <v>3</v>
      </c>
      <c r="X20">
        <f>X19+0.1</f>
        <v>0.5</v>
      </c>
      <c r="Z20" s="24">
        <f>Z15*16</f>
        <v>8</v>
      </c>
      <c r="AB20">
        <f>AB19+0.05</f>
        <v>0.35</v>
      </c>
      <c r="AF20">
        <v>1</v>
      </c>
    </row>
    <row r="21" spans="1:33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</row>
    <row r="22" spans="1:33">
      <c r="A22" s="71" t="s">
        <v>400</v>
      </c>
      <c r="B22" s="71"/>
      <c r="C22" s="15">
        <v>1955</v>
      </c>
      <c r="D22" s="15" t="s">
        <v>401</v>
      </c>
      <c r="E22" s="15" t="s">
        <v>402</v>
      </c>
      <c r="F22" s="15" t="s">
        <v>403</v>
      </c>
      <c r="G22" s="26">
        <v>-0.05</v>
      </c>
      <c r="H22" s="15"/>
      <c r="I22" s="26">
        <v>0.04</v>
      </c>
      <c r="J22" s="15"/>
      <c r="K22" s="26">
        <v>0.04</v>
      </c>
      <c r="L22" s="15"/>
      <c r="M22" s="26">
        <v>0.04</v>
      </c>
      <c r="N22" s="15"/>
      <c r="O22" s="26">
        <v>0.04</v>
      </c>
      <c r="P22" s="15"/>
      <c r="Q22" s="15"/>
      <c r="R22" s="15"/>
      <c r="S22" s="15"/>
      <c r="T22" s="15"/>
      <c r="U22" s="15"/>
      <c r="V22" s="15"/>
      <c r="W22" s="26">
        <v>-0.02</v>
      </c>
      <c r="X22" s="15">
        <v>0.15</v>
      </c>
      <c r="Z22" s="25">
        <v>3</v>
      </c>
      <c r="AB22" s="15">
        <v>0.1</v>
      </c>
    </row>
    <row r="23" spans="1:33">
      <c r="A23" s="71"/>
      <c r="B23" s="71"/>
      <c r="C23">
        <v>1965</v>
      </c>
      <c r="D23" t="s">
        <v>404</v>
      </c>
      <c r="E23" t="s">
        <v>405</v>
      </c>
      <c r="F23" s="22" t="s">
        <v>406</v>
      </c>
      <c r="G23" s="28">
        <f>G22+2.5%</f>
        <v>-2.5000000000000001E-2</v>
      </c>
      <c r="I23" s="27">
        <f>I22*2</f>
        <v>0.08</v>
      </c>
      <c r="K23" s="27">
        <f>K22*2</f>
        <v>0.08</v>
      </c>
      <c r="M23" s="27">
        <f>M22*2</f>
        <v>0.08</v>
      </c>
      <c r="O23" s="27">
        <f>O22*2</f>
        <v>0.08</v>
      </c>
      <c r="W23" s="27">
        <f>W22*2</f>
        <v>-0.04</v>
      </c>
      <c r="X23">
        <f t="shared" ref="X23:X28" si="0">X22+0.15</f>
        <v>0.3</v>
      </c>
      <c r="Z23" s="24">
        <f>Z22+2</f>
        <v>5</v>
      </c>
      <c r="AB23">
        <f t="shared" ref="AB23:AB28" si="1">AB22+0.05</f>
        <v>0.15000000000000002</v>
      </c>
      <c r="AF23">
        <v>1</v>
      </c>
    </row>
    <row r="24" spans="1:33">
      <c r="A24" s="71"/>
      <c r="B24" s="71"/>
      <c r="C24">
        <v>1975</v>
      </c>
      <c r="D24" t="s">
        <v>407</v>
      </c>
      <c r="E24" t="s">
        <v>408</v>
      </c>
      <c r="F24" s="22" t="s">
        <v>409</v>
      </c>
      <c r="G24" s="27">
        <f>G23+1.5%</f>
        <v>-1.0000000000000002E-2</v>
      </c>
      <c r="I24" s="27">
        <f>I22*3</f>
        <v>0.12</v>
      </c>
      <c r="K24" s="27">
        <f>K22*3</f>
        <v>0.12</v>
      </c>
      <c r="M24" s="27">
        <f>M22*3</f>
        <v>0.12</v>
      </c>
      <c r="O24" s="27">
        <f>O22*3</f>
        <v>0.12</v>
      </c>
      <c r="W24" s="27">
        <f>W22*3</f>
        <v>-0.06</v>
      </c>
      <c r="X24">
        <f t="shared" si="0"/>
        <v>0.44999999999999996</v>
      </c>
      <c r="Z24" s="24">
        <f>Z22+4</f>
        <v>7</v>
      </c>
      <c r="AB24">
        <f t="shared" si="1"/>
        <v>0.2</v>
      </c>
      <c r="AF24">
        <v>2</v>
      </c>
    </row>
    <row r="25" spans="1:33">
      <c r="A25" s="71"/>
      <c r="B25" s="71"/>
      <c r="C25">
        <v>1985</v>
      </c>
      <c r="D25" t="s">
        <v>410</v>
      </c>
      <c r="E25" t="s">
        <v>411</v>
      </c>
      <c r="F25" s="22" t="s">
        <v>412</v>
      </c>
      <c r="G25" s="27">
        <f>G24</f>
        <v>-1.0000000000000002E-2</v>
      </c>
      <c r="I25" s="27">
        <f>I22*4</f>
        <v>0.16</v>
      </c>
      <c r="K25" s="27">
        <f>K22*4</f>
        <v>0.16</v>
      </c>
      <c r="M25" s="27">
        <f>M22*4</f>
        <v>0.16</v>
      </c>
      <c r="O25" s="27">
        <f>O22*4</f>
        <v>0.16</v>
      </c>
      <c r="U25" s="27">
        <f>U22+5%</f>
        <v>0.05</v>
      </c>
      <c r="W25" s="27">
        <f>W22*4</f>
        <v>-0.08</v>
      </c>
      <c r="X25">
        <f t="shared" si="0"/>
        <v>0.6</v>
      </c>
      <c r="Z25" s="24">
        <f>Z22+6</f>
        <v>9</v>
      </c>
      <c r="AB25">
        <f t="shared" si="1"/>
        <v>0.25</v>
      </c>
      <c r="AF25">
        <v>2</v>
      </c>
    </row>
    <row r="26" spans="1:33">
      <c r="A26" s="71"/>
      <c r="B26" s="71"/>
      <c r="C26">
        <v>1995</v>
      </c>
      <c r="D26" t="s">
        <v>413</v>
      </c>
      <c r="E26" t="s">
        <v>414</v>
      </c>
      <c r="F26" s="22" t="s">
        <v>415</v>
      </c>
      <c r="G26" s="27">
        <f>G25</f>
        <v>-1.0000000000000002E-2</v>
      </c>
      <c r="I26" s="27">
        <f>I22*5</f>
        <v>0.2</v>
      </c>
      <c r="K26" s="27">
        <f>K22*5</f>
        <v>0.2</v>
      </c>
      <c r="M26" s="27">
        <f>M22*5</f>
        <v>0.2</v>
      </c>
      <c r="O26" s="27">
        <f>O22*5</f>
        <v>0.2</v>
      </c>
      <c r="U26" s="27">
        <f>U25+5%</f>
        <v>0.1</v>
      </c>
      <c r="W26" s="27">
        <f>W22*6</f>
        <v>-0.12</v>
      </c>
      <c r="X26">
        <f t="shared" si="0"/>
        <v>0.75</v>
      </c>
      <c r="Z26" s="24">
        <f>Z22+8</f>
        <v>11</v>
      </c>
      <c r="AB26">
        <f t="shared" si="1"/>
        <v>0.3</v>
      </c>
      <c r="AF26">
        <v>2</v>
      </c>
    </row>
    <row r="27" spans="1:33">
      <c r="A27" s="71"/>
      <c r="B27" s="71"/>
      <c r="C27">
        <v>2005</v>
      </c>
      <c r="D27" t="s">
        <v>416</v>
      </c>
      <c r="E27" t="s">
        <v>417</v>
      </c>
      <c r="F27" t="s">
        <v>418</v>
      </c>
      <c r="G27" s="27">
        <f>G26</f>
        <v>-1.0000000000000002E-2</v>
      </c>
      <c r="I27" s="27">
        <f>I22*6</f>
        <v>0.24</v>
      </c>
      <c r="K27" s="27">
        <f>K22*6</f>
        <v>0.24</v>
      </c>
      <c r="M27" s="27">
        <f>M22*6</f>
        <v>0.24</v>
      </c>
      <c r="O27" s="27">
        <f>O22*6</f>
        <v>0.24</v>
      </c>
      <c r="U27" s="27">
        <f>U26+5%</f>
        <v>0.15000000000000002</v>
      </c>
      <c r="W27" s="27">
        <f>W22*8</f>
        <v>-0.16</v>
      </c>
      <c r="X27">
        <f t="shared" si="0"/>
        <v>0.9</v>
      </c>
      <c r="Z27" s="24">
        <f>Z22+10</f>
        <v>13</v>
      </c>
      <c r="AB27">
        <f t="shared" si="1"/>
        <v>0.35</v>
      </c>
      <c r="AF27">
        <v>2</v>
      </c>
    </row>
    <row r="28" spans="1:33">
      <c r="A28" s="71"/>
      <c r="B28" s="71"/>
      <c r="C28">
        <v>2015</v>
      </c>
      <c r="D28" t="s">
        <v>419</v>
      </c>
      <c r="E28" t="s">
        <v>420</v>
      </c>
      <c r="F28" s="22" t="s">
        <v>421</v>
      </c>
      <c r="G28" s="27">
        <f>G27</f>
        <v>-1.0000000000000002E-2</v>
      </c>
      <c r="I28" s="27">
        <f>I22*7</f>
        <v>0.28000000000000003</v>
      </c>
      <c r="K28" s="27">
        <f>K22*7</f>
        <v>0.28000000000000003</v>
      </c>
      <c r="M28" s="27">
        <f>M22*7</f>
        <v>0.28000000000000003</v>
      </c>
      <c r="O28" s="27">
        <f>O22*7</f>
        <v>0.28000000000000003</v>
      </c>
      <c r="U28" s="27">
        <f>U27+5%</f>
        <v>0.2</v>
      </c>
      <c r="W28" s="27">
        <f>W22*10</f>
        <v>-0.2</v>
      </c>
      <c r="X28">
        <f t="shared" si="0"/>
        <v>1.05</v>
      </c>
      <c r="Z28" s="24">
        <f>Z22+12</f>
        <v>15</v>
      </c>
      <c r="AB28">
        <f t="shared" si="1"/>
        <v>0.39999999999999997</v>
      </c>
      <c r="AF28">
        <v>2</v>
      </c>
    </row>
    <row r="29" spans="1:33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</row>
    <row r="30" spans="1:33">
      <c r="A30" s="71" t="s">
        <v>422</v>
      </c>
      <c r="B30" s="71"/>
      <c r="C30" s="15">
        <v>1939</v>
      </c>
      <c r="D30" s="15" t="s">
        <v>423</v>
      </c>
      <c r="E30" s="15" t="s">
        <v>424</v>
      </c>
      <c r="F30" s="15" t="s">
        <v>425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25">
        <v>0.5</v>
      </c>
      <c r="AA30" s="15"/>
      <c r="AB30" s="15">
        <v>0.15</v>
      </c>
    </row>
    <row r="31" spans="1:33">
      <c r="A31" s="71"/>
      <c r="B31" s="71"/>
      <c r="C31">
        <v>1944</v>
      </c>
      <c r="D31" t="s">
        <v>426</v>
      </c>
      <c r="E31" t="s">
        <v>427</v>
      </c>
      <c r="F31" t="s">
        <v>428</v>
      </c>
      <c r="G31" s="27">
        <f>G30-2%</f>
        <v>-0.02</v>
      </c>
      <c r="I31" s="27">
        <f>I30+10%</f>
        <v>0.1</v>
      </c>
      <c r="K31" s="27">
        <f>K30+10%</f>
        <v>0.1</v>
      </c>
      <c r="O31" s="27">
        <f>O29+5%</f>
        <v>0.05</v>
      </c>
      <c r="S31" s="28">
        <v>-2.5000000000000001E-2</v>
      </c>
      <c r="Z31" s="24">
        <f>Z30+1</f>
        <v>1.5</v>
      </c>
      <c r="AB31">
        <f>AB30+0.1</f>
        <v>0.25</v>
      </c>
    </row>
    <row r="32" spans="1:33">
      <c r="A32" s="71"/>
      <c r="B32" s="71"/>
      <c r="C32">
        <v>1955</v>
      </c>
      <c r="D32" t="s">
        <v>429</v>
      </c>
      <c r="E32" t="s">
        <v>430</v>
      </c>
      <c r="F32" t="s">
        <v>431</v>
      </c>
      <c r="G32" s="27">
        <f>G30-2%</f>
        <v>-0.02</v>
      </c>
      <c r="I32" s="28">
        <f>I30+2.5%</f>
        <v>2.5000000000000001E-2</v>
      </c>
      <c r="J32" s="28"/>
      <c r="K32" s="28">
        <f>K30+2.5%</f>
        <v>2.5000000000000001E-2</v>
      </c>
      <c r="L32" s="27"/>
      <c r="M32" s="27">
        <f>M30+5%</f>
        <v>0.05</v>
      </c>
      <c r="X32">
        <f>X30+0.1</f>
        <v>0.1</v>
      </c>
      <c r="Z32" s="24">
        <f>Z30+1</f>
        <v>1.5</v>
      </c>
      <c r="AB32">
        <f>AB31+0.1</f>
        <v>0.35</v>
      </c>
    </row>
    <row r="33" spans="1:33">
      <c r="A33" s="71"/>
      <c r="B33" s="71"/>
      <c r="C33">
        <v>1965</v>
      </c>
      <c r="D33" t="s">
        <v>432</v>
      </c>
      <c r="E33" t="s">
        <v>433</v>
      </c>
      <c r="F33" t="s">
        <v>434</v>
      </c>
      <c r="G33" s="27">
        <f>G30-3%</f>
        <v>-0.03</v>
      </c>
      <c r="I33" s="28">
        <f>I31+2.5%</f>
        <v>0.125</v>
      </c>
      <c r="K33" s="28">
        <f>K31+2.5%</f>
        <v>0.125</v>
      </c>
      <c r="M33" s="28">
        <f>M32+2.5%</f>
        <v>7.5000000000000011E-2</v>
      </c>
      <c r="O33" s="28">
        <f>O31+2.5%</f>
        <v>7.5000000000000011E-2</v>
      </c>
      <c r="S33" s="28">
        <f>S31</f>
        <v>-2.5000000000000001E-2</v>
      </c>
      <c r="X33">
        <f>X32+0.05</f>
        <v>0.15000000000000002</v>
      </c>
      <c r="Z33" s="24">
        <f>Z30+3</f>
        <v>3.5</v>
      </c>
      <c r="AB33">
        <f>AB32+0.1</f>
        <v>0.44999999999999996</v>
      </c>
    </row>
    <row r="34" spans="1:33">
      <c r="A34" s="71"/>
      <c r="B34" s="71"/>
      <c r="C34">
        <v>1970</v>
      </c>
      <c r="D34" t="s">
        <v>435</v>
      </c>
      <c r="E34" t="s">
        <v>436</v>
      </c>
      <c r="F34" t="s">
        <v>437</v>
      </c>
      <c r="G34" s="27">
        <f>G30-4%</f>
        <v>-0.04</v>
      </c>
      <c r="I34" s="28">
        <f>I33+5%</f>
        <v>0.17499999999999999</v>
      </c>
      <c r="K34" s="28">
        <f>K33+5%</f>
        <v>0.17499999999999999</v>
      </c>
      <c r="M34" s="27">
        <f>M33+2.5%</f>
        <v>0.1</v>
      </c>
      <c r="O34" s="27">
        <f>O33+2.5%</f>
        <v>0.1</v>
      </c>
      <c r="X34">
        <f>X33+0.05</f>
        <v>0.2</v>
      </c>
      <c r="Z34" s="24">
        <f>Z30+4.5</f>
        <v>5</v>
      </c>
      <c r="AB34">
        <f>AB33+0.1</f>
        <v>0.54999999999999993</v>
      </c>
      <c r="AF34">
        <v>1</v>
      </c>
    </row>
    <row r="35" spans="1:33">
      <c r="A35" s="71"/>
      <c r="B35" s="71"/>
      <c r="C35">
        <v>1980</v>
      </c>
      <c r="D35" t="s">
        <v>438</v>
      </c>
      <c r="E35" t="s">
        <v>439</v>
      </c>
      <c r="F35" t="s">
        <v>440</v>
      </c>
      <c r="G35" s="27">
        <f>G34</f>
        <v>-0.04</v>
      </c>
      <c r="I35" s="27">
        <f>I34+2.5%</f>
        <v>0.19999999999999998</v>
      </c>
      <c r="K35" s="27">
        <f>K34+2.5%</f>
        <v>0.19999999999999998</v>
      </c>
      <c r="M35" s="28">
        <f>M34+2.5%</f>
        <v>0.125</v>
      </c>
      <c r="O35" s="28">
        <f>O34+2.5%</f>
        <v>0.125</v>
      </c>
      <c r="X35">
        <f>X34+0.05</f>
        <v>0.25</v>
      </c>
      <c r="Z35" s="24">
        <f>Z34+1</f>
        <v>6</v>
      </c>
      <c r="AB35">
        <f>AB34+0.1</f>
        <v>0.64999999999999991</v>
      </c>
      <c r="AF35">
        <v>1</v>
      </c>
    </row>
    <row r="36" spans="1:33">
      <c r="A36" s="71"/>
      <c r="B36" s="71"/>
      <c r="C36">
        <v>1990</v>
      </c>
      <c r="D36" t="s">
        <v>441</v>
      </c>
      <c r="E36" t="s">
        <v>442</v>
      </c>
      <c r="F36" t="s">
        <v>443</v>
      </c>
      <c r="G36" s="27">
        <f>G35</f>
        <v>-0.04</v>
      </c>
      <c r="I36" s="28">
        <f>I35+2.5%</f>
        <v>0.22499999999999998</v>
      </c>
      <c r="K36" s="28">
        <f>K35+2.5%</f>
        <v>0.22499999999999998</v>
      </c>
      <c r="M36" s="27">
        <f>M35+2.5%</f>
        <v>0.15</v>
      </c>
      <c r="O36" s="27">
        <f>O35+2.5%</f>
        <v>0.15</v>
      </c>
      <c r="Q36" s="28"/>
      <c r="X36">
        <f>X35+0.05</f>
        <v>0.3</v>
      </c>
      <c r="Z36" s="24">
        <f>Z35+1</f>
        <v>7</v>
      </c>
      <c r="AB36">
        <f>AB35+0.1</f>
        <v>0.74999999999999989</v>
      </c>
      <c r="AF36">
        <v>1</v>
      </c>
    </row>
    <row r="37" spans="1:33">
      <c r="A37" s="71"/>
      <c r="B37" s="71"/>
      <c r="C37">
        <v>2010</v>
      </c>
      <c r="D37" t="s">
        <v>438</v>
      </c>
      <c r="E37" t="s">
        <v>444</v>
      </c>
      <c r="F37" t="s">
        <v>445</v>
      </c>
      <c r="G37" s="27">
        <f>G36</f>
        <v>-0.04</v>
      </c>
      <c r="I37" s="27">
        <f>I36+2.5%</f>
        <v>0.24999999999999997</v>
      </c>
      <c r="K37" s="27">
        <f>K36+2.5%</f>
        <v>0.24999999999999997</v>
      </c>
      <c r="M37" s="28">
        <f>M36+2.5%</f>
        <v>0.17499999999999999</v>
      </c>
      <c r="O37" s="28">
        <f>O36+2.5%</f>
        <v>0.17499999999999999</v>
      </c>
      <c r="X37">
        <f>X36+0.05</f>
        <v>0.35</v>
      </c>
      <c r="Z37" s="24">
        <f>Z36+1</f>
        <v>8</v>
      </c>
      <c r="AB37">
        <f>AB36+0.1</f>
        <v>0.84999999999999987</v>
      </c>
      <c r="AF37">
        <v>1</v>
      </c>
    </row>
    <row r="38" spans="1:33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</row>
    <row r="39" spans="1:33">
      <c r="A39" s="71" t="s">
        <v>446</v>
      </c>
      <c r="B39" s="71"/>
      <c r="C39" s="15">
        <v>1965</v>
      </c>
      <c r="D39" s="15" t="s">
        <v>447</v>
      </c>
      <c r="E39" s="15" t="s">
        <v>448</v>
      </c>
      <c r="F39" s="15" t="s">
        <v>449</v>
      </c>
      <c r="G39" s="15"/>
      <c r="H39" s="15"/>
      <c r="I39" s="15"/>
      <c r="J39" s="15"/>
      <c r="K39" s="15"/>
      <c r="L39" s="15">
        <v>1.5</v>
      </c>
      <c r="M39" s="26">
        <v>0.03</v>
      </c>
      <c r="N39" s="15">
        <v>1</v>
      </c>
      <c r="O39" s="26">
        <v>0.03</v>
      </c>
      <c r="P39" s="15"/>
      <c r="Q39" s="15"/>
      <c r="R39" s="15"/>
      <c r="S39" s="15"/>
      <c r="T39" s="15">
        <v>0.5</v>
      </c>
      <c r="U39" s="15"/>
      <c r="V39" s="15"/>
      <c r="W39" s="15"/>
      <c r="X39" s="15">
        <v>0.05</v>
      </c>
      <c r="Y39" s="15"/>
      <c r="Z39" s="25">
        <v>3</v>
      </c>
      <c r="AB39" s="15">
        <v>0.1</v>
      </c>
    </row>
    <row r="40" spans="1:33">
      <c r="A40" s="71"/>
      <c r="B40" s="71"/>
      <c r="C40">
        <v>1985</v>
      </c>
      <c r="D40" t="s">
        <v>450</v>
      </c>
      <c r="E40" t="s">
        <v>451</v>
      </c>
      <c r="F40" t="s">
        <v>452</v>
      </c>
      <c r="L40">
        <f>L39*2</f>
        <v>3</v>
      </c>
      <c r="M40" s="27">
        <f>M39*2</f>
        <v>0.06</v>
      </c>
      <c r="N40">
        <f>N39*2</f>
        <v>2</v>
      </c>
      <c r="O40" s="27">
        <f>O39*2</f>
        <v>0.06</v>
      </c>
      <c r="T40">
        <f>T39*2</f>
        <v>1</v>
      </c>
      <c r="X40">
        <f>X39*2</f>
        <v>0.1</v>
      </c>
      <c r="Z40" s="24">
        <f>Z39+1.5</f>
        <v>4.5</v>
      </c>
      <c r="AB40">
        <f>AB39+0.05</f>
        <v>0.15000000000000002</v>
      </c>
    </row>
    <row r="41" spans="1:33">
      <c r="A41" s="71"/>
      <c r="B41" s="71"/>
      <c r="C41">
        <v>2005</v>
      </c>
      <c r="D41" t="s">
        <v>453</v>
      </c>
      <c r="E41" t="s">
        <v>454</v>
      </c>
      <c r="F41" t="s">
        <v>455</v>
      </c>
      <c r="L41">
        <f>L39*4</f>
        <v>6</v>
      </c>
      <c r="M41" s="27">
        <f>M39*4</f>
        <v>0.12</v>
      </c>
      <c r="N41">
        <f>N39*4</f>
        <v>4</v>
      </c>
      <c r="O41" s="27">
        <f>O39*4</f>
        <v>0.12</v>
      </c>
      <c r="T41">
        <f>T39*3</f>
        <v>1.5</v>
      </c>
      <c r="X41">
        <f>X39*4</f>
        <v>0.2</v>
      </c>
      <c r="Z41" s="24">
        <f>Z40+1.5</f>
        <v>6</v>
      </c>
      <c r="AB41">
        <f>AB40+0.05</f>
        <v>0.2</v>
      </c>
    </row>
    <row r="42" spans="1:33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</row>
    <row r="43" spans="1:33">
      <c r="A43" s="73" t="s">
        <v>456</v>
      </c>
      <c r="B43" s="73"/>
      <c r="C43">
        <v>2020</v>
      </c>
      <c r="D43" t="s">
        <v>457</v>
      </c>
      <c r="E43" t="s">
        <v>458</v>
      </c>
      <c r="F43" t="s">
        <v>459</v>
      </c>
      <c r="I43" s="27">
        <v>0.1</v>
      </c>
      <c r="K43" s="27">
        <v>0.1</v>
      </c>
      <c r="L43">
        <v>3</v>
      </c>
      <c r="M43" s="27">
        <v>0.1</v>
      </c>
      <c r="N43">
        <v>3</v>
      </c>
      <c r="O43" s="27">
        <v>0.1</v>
      </c>
      <c r="U43" s="27">
        <v>0.3</v>
      </c>
      <c r="X43">
        <v>0.2</v>
      </c>
      <c r="Z43" s="24">
        <v>5</v>
      </c>
      <c r="AB43">
        <v>0.1</v>
      </c>
    </row>
    <row r="44" spans="1:33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</row>
    <row r="45" spans="1:33">
      <c r="A45" s="71" t="s">
        <v>460</v>
      </c>
      <c r="B45" s="71"/>
      <c r="I45" s="66" t="str">
        <f>I2</f>
        <v>Hard attack, %</v>
      </c>
      <c r="J45" s="66"/>
      <c r="K45" s="66" t="str">
        <f>K2</f>
        <v>Soft attack, %</v>
      </c>
      <c r="L45" s="66" t="str">
        <f>L2</f>
        <v>Breakthrough</v>
      </c>
      <c r="M45" s="66" t="str">
        <f>M2</f>
        <v>Breakthrough, %</v>
      </c>
      <c r="N45" s="66" t="str">
        <f>N2</f>
        <v>Defence</v>
      </c>
      <c r="O45" s="66" t="str">
        <f>O2</f>
        <v>Defence, %</v>
      </c>
      <c r="P45" s="66"/>
      <c r="Q45" s="69"/>
      <c r="R45" s="69"/>
      <c r="S45" s="69"/>
      <c r="T45" s="69"/>
      <c r="U45" s="69" t="str">
        <f>U2</f>
        <v>Recon, %</v>
      </c>
      <c r="V45" s="66"/>
      <c r="W45" s="66" t="str">
        <f>W2</f>
        <v>Supply consumption, %</v>
      </c>
      <c r="X45" s="66" t="str">
        <f>X2</f>
        <v>Fuel consumption</v>
      </c>
      <c r="Y45" s="66"/>
      <c r="Z45" s="66" t="str">
        <f>Z2</f>
        <v>Production cost</v>
      </c>
      <c r="AA45" s="66"/>
      <c r="AB45" s="66"/>
      <c r="AC45" s="66"/>
      <c r="AF45" s="66" t="s">
        <v>263</v>
      </c>
    </row>
    <row r="46" spans="1:33">
      <c r="A46" s="71"/>
      <c r="B46" s="71"/>
      <c r="I46" s="28">
        <f>I13+I28+I37+I43</f>
        <v>0.80499999999999994</v>
      </c>
      <c r="K46" s="28">
        <f>K13+K28+K37+K43</f>
        <v>0.80499999999999994</v>
      </c>
      <c r="L46">
        <f>L13+L20+L41+L43</f>
        <v>38.5</v>
      </c>
      <c r="M46" s="28">
        <f>M28+M37+M41+M43</f>
        <v>0.67499999999999993</v>
      </c>
      <c r="N46">
        <f>N13+N20+N41+N43</f>
        <v>11</v>
      </c>
      <c r="O46" s="28">
        <f>O28+O37+O41+O43</f>
        <v>0.67499999999999993</v>
      </c>
      <c r="U46" s="27">
        <f>U28+U43</f>
        <v>0.5</v>
      </c>
      <c r="W46" s="27">
        <f>W13+W28+W37</f>
        <v>-8.0000000000000016E-2</v>
      </c>
      <c r="X46">
        <f>X13+X20+X28+X37+X41+X43</f>
        <v>3.2500000000000004</v>
      </c>
      <c r="Z46">
        <f>Z13+Z20+Z28+Z37+Z41+Z43</f>
        <v>49.5</v>
      </c>
      <c r="AF46">
        <f>AF13+AF20+AF28+AF37</f>
        <v>5</v>
      </c>
    </row>
  </sheetData>
  <mergeCells count="23">
    <mergeCell ref="A43:B43"/>
    <mergeCell ref="A45:B46"/>
    <mergeCell ref="F1:F2"/>
    <mergeCell ref="A3:A13"/>
    <mergeCell ref="A39:B41"/>
    <mergeCell ref="A22:B28"/>
    <mergeCell ref="A15:B20"/>
    <mergeCell ref="A1:B2"/>
    <mergeCell ref="C1:C2"/>
    <mergeCell ref="A30:B37"/>
    <mergeCell ref="A44:AG44"/>
    <mergeCell ref="AC1:AG1"/>
    <mergeCell ref="A14:AG14"/>
    <mergeCell ref="A21:AG21"/>
    <mergeCell ref="A29:AG29"/>
    <mergeCell ref="A42:AG42"/>
    <mergeCell ref="A38:AG38"/>
    <mergeCell ref="G1:AB1"/>
    <mergeCell ref="B3:B4"/>
    <mergeCell ref="B11:B13"/>
    <mergeCell ref="B7:B10"/>
    <mergeCell ref="B5:B6"/>
    <mergeCell ref="D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E7295-7534-428A-AEF1-C877BA19252D}">
  <dimension ref="A1:BJ308"/>
  <sheetViews>
    <sheetView topLeftCell="T1" workbookViewId="0">
      <pane xSplit="2" ySplit="2" topLeftCell="V3" activePane="bottomRight" state="frozen"/>
      <selection pane="bottomRight"/>
      <selection pane="bottomLeft"/>
      <selection pane="topRight"/>
    </sheetView>
  </sheetViews>
  <sheetFormatPr defaultRowHeight="15"/>
  <cols>
    <col min="1" max="5" width="21" customWidth="1"/>
    <col min="6" max="6" width="17.85546875" customWidth="1"/>
    <col min="7" max="7" width="18.28515625" customWidth="1"/>
    <col min="8" max="8" width="13" customWidth="1"/>
    <col min="9" max="10" width="14" customWidth="1"/>
    <col min="11" max="11" width="16.42578125" customWidth="1"/>
    <col min="12" max="12" width="13.5703125" customWidth="1"/>
    <col min="13" max="13" width="15.140625" customWidth="1"/>
    <col min="14" max="14" width="14.5703125" customWidth="1"/>
    <col min="15" max="15" width="16.42578125" customWidth="1"/>
    <col min="16" max="16" width="10" customWidth="1"/>
    <col min="17" max="17" width="14.5703125" customWidth="1"/>
    <col min="19" max="19" width="14.5703125" customWidth="1"/>
    <col min="20" max="20" width="31.140625" customWidth="1"/>
    <col min="22" max="22" width="48.7109375" customWidth="1"/>
    <col min="23" max="23" width="39.5703125" customWidth="1"/>
    <col min="24" max="24" width="38.28515625" customWidth="1"/>
    <col min="25" max="25" width="26.7109375" customWidth="1"/>
    <col min="26" max="26" width="25.28515625" customWidth="1"/>
    <col min="27" max="27" width="17.140625" customWidth="1"/>
    <col min="28" max="28" width="13.85546875" customWidth="1"/>
    <col min="29" max="29" width="15" customWidth="1"/>
    <col min="30" max="30" width="15.140625" customWidth="1"/>
    <col min="31" max="31" width="13.5703125" customWidth="1"/>
    <col min="32" max="32" width="14.7109375" customWidth="1"/>
    <col min="33" max="33" width="13.5703125" customWidth="1"/>
    <col min="34" max="34" width="17.140625" customWidth="1"/>
    <col min="36" max="40" width="12.42578125" customWidth="1"/>
    <col min="41" max="41" width="14.42578125" customWidth="1"/>
    <col min="42" max="44" width="13.28515625" customWidth="1"/>
    <col min="45" max="45" width="15" customWidth="1"/>
    <col min="46" max="46" width="20.28515625" customWidth="1"/>
    <col min="47" max="47" width="23.42578125" customWidth="1"/>
    <col min="48" max="48" width="18.42578125" customWidth="1"/>
    <col min="49" max="51" width="21.42578125" customWidth="1"/>
    <col min="52" max="52" width="21.5703125" customWidth="1"/>
    <col min="53" max="53" width="18" customWidth="1"/>
    <col min="54" max="54" width="17.140625" customWidth="1"/>
    <col min="55" max="55" width="16.42578125" customWidth="1"/>
    <col min="56" max="56" width="20.42578125" customWidth="1"/>
    <col min="57" max="57" width="15.140625" customWidth="1"/>
    <col min="58" max="58" width="16.7109375" customWidth="1"/>
    <col min="59" max="59" width="18.5703125" customWidth="1"/>
  </cols>
  <sheetData>
    <row r="1" spans="1:59">
      <c r="A1" s="45" t="s">
        <v>122</v>
      </c>
      <c r="B1" s="45" t="s">
        <v>3</v>
      </c>
      <c r="C1" s="45" t="s">
        <v>461</v>
      </c>
      <c r="D1" s="45" t="s">
        <v>462</v>
      </c>
      <c r="E1" s="45" t="s">
        <v>463</v>
      </c>
      <c r="F1" s="45" t="s">
        <v>464</v>
      </c>
      <c r="G1" s="45" t="s">
        <v>465</v>
      </c>
      <c r="H1" s="45" t="s">
        <v>466</v>
      </c>
      <c r="I1" s="45" t="s">
        <v>8</v>
      </c>
      <c r="J1" s="45" t="s">
        <v>126</v>
      </c>
      <c r="K1" s="45" t="s">
        <v>467</v>
      </c>
      <c r="L1" s="45" t="s">
        <v>468</v>
      </c>
      <c r="M1" s="45" t="s">
        <v>469</v>
      </c>
      <c r="N1" s="45" t="s">
        <v>470</v>
      </c>
      <c r="S1" s="93" t="s">
        <v>471</v>
      </c>
      <c r="T1" s="93" t="s">
        <v>2</v>
      </c>
      <c r="U1" s="93" t="s">
        <v>3</v>
      </c>
      <c r="V1" s="93" t="s">
        <v>472</v>
      </c>
      <c r="W1" s="93" t="s">
        <v>473</v>
      </c>
      <c r="X1" s="93" t="s">
        <v>240</v>
      </c>
      <c r="Y1" s="93"/>
      <c r="Z1" s="93" t="s">
        <v>474</v>
      </c>
      <c r="AA1" s="94" t="s">
        <v>121</v>
      </c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5" t="s">
        <v>241</v>
      </c>
      <c r="BD1" s="95"/>
      <c r="BE1" s="95"/>
      <c r="BF1" s="95"/>
      <c r="BG1" s="95"/>
    </row>
    <row r="2" spans="1:59">
      <c r="A2" s="43" t="s">
        <v>475</v>
      </c>
      <c r="B2" s="43">
        <v>1942</v>
      </c>
      <c r="C2" s="43">
        <v>70</v>
      </c>
      <c r="D2" s="43">
        <v>90</v>
      </c>
      <c r="E2" s="43">
        <v>15</v>
      </c>
      <c r="F2" s="43">
        <v>20</v>
      </c>
      <c r="G2" s="43">
        <v>45</v>
      </c>
      <c r="H2" s="43">
        <v>6</v>
      </c>
      <c r="I2" s="43">
        <v>30</v>
      </c>
      <c r="J2" s="43">
        <v>36</v>
      </c>
      <c r="K2" s="43">
        <v>7</v>
      </c>
      <c r="M2" s="43" t="s">
        <v>476</v>
      </c>
      <c r="N2" s="43">
        <v>20</v>
      </c>
      <c r="S2" s="93"/>
      <c r="T2" s="93"/>
      <c r="U2" s="93"/>
      <c r="V2" s="93"/>
      <c r="W2" s="93"/>
      <c r="X2" s="68" t="s">
        <v>477</v>
      </c>
      <c r="Y2" s="68" t="s">
        <v>243</v>
      </c>
      <c r="Z2" s="93"/>
      <c r="AA2" s="46" t="s">
        <v>244</v>
      </c>
      <c r="AB2" s="46" t="s">
        <v>245</v>
      </c>
      <c r="AC2" s="46" t="s">
        <v>124</v>
      </c>
      <c r="AD2" s="46" t="s">
        <v>246</v>
      </c>
      <c r="AE2" s="46" t="s">
        <v>125</v>
      </c>
      <c r="AF2" s="46" t="s">
        <v>247</v>
      </c>
      <c r="AG2" s="46" t="s">
        <v>248</v>
      </c>
      <c r="AH2" s="46" t="s">
        <v>249</v>
      </c>
      <c r="AI2" s="46" t="s">
        <v>250</v>
      </c>
      <c r="AJ2" s="46" t="s">
        <v>251</v>
      </c>
      <c r="AK2" s="46" t="s">
        <v>8</v>
      </c>
      <c r="AL2" s="46" t="s">
        <v>253</v>
      </c>
      <c r="AM2" s="46" t="s">
        <v>126</v>
      </c>
      <c r="AN2" s="46" t="s">
        <v>478</v>
      </c>
      <c r="AO2" s="46" t="s">
        <v>127</v>
      </c>
      <c r="AP2" s="46" t="s">
        <v>252</v>
      </c>
      <c r="AQ2" s="46" t="s">
        <v>112</v>
      </c>
      <c r="AR2" s="46" t="s">
        <v>343</v>
      </c>
      <c r="AS2" s="53" t="s">
        <v>479</v>
      </c>
      <c r="AT2" s="46" t="s">
        <v>254</v>
      </c>
      <c r="AU2" s="46" t="s">
        <v>255</v>
      </c>
      <c r="AV2" s="46" t="s">
        <v>256</v>
      </c>
      <c r="AW2" s="46" t="s">
        <v>257</v>
      </c>
      <c r="AX2" s="46" t="s">
        <v>480</v>
      </c>
      <c r="AY2" s="46" t="s">
        <v>481</v>
      </c>
      <c r="AZ2" s="47" t="s">
        <v>9</v>
      </c>
      <c r="BA2" s="46" t="s">
        <v>258</v>
      </c>
      <c r="BB2" s="46" t="s">
        <v>259</v>
      </c>
      <c r="BC2" s="46" t="s">
        <v>260</v>
      </c>
      <c r="BD2" s="46" t="s">
        <v>261</v>
      </c>
      <c r="BE2" s="46" t="s">
        <v>262</v>
      </c>
      <c r="BF2" s="46" t="s">
        <v>263</v>
      </c>
      <c r="BG2" s="46" t="s">
        <v>264</v>
      </c>
    </row>
    <row r="3" spans="1:59">
      <c r="A3" s="43" t="s">
        <v>482</v>
      </c>
      <c r="B3" s="43">
        <v>1944</v>
      </c>
      <c r="C3" s="43">
        <v>70</v>
      </c>
      <c r="D3" s="43">
        <v>90</v>
      </c>
      <c r="E3" s="43">
        <v>19</v>
      </c>
      <c r="F3" s="43">
        <v>25</v>
      </c>
      <c r="G3" s="43">
        <v>56</v>
      </c>
      <c r="H3" s="43">
        <v>8</v>
      </c>
      <c r="I3" s="43">
        <v>36</v>
      </c>
      <c r="J3" s="43">
        <v>43</v>
      </c>
      <c r="K3" s="43">
        <v>7</v>
      </c>
      <c r="M3" s="43" t="s">
        <v>476</v>
      </c>
      <c r="N3" s="43">
        <v>30</v>
      </c>
      <c r="S3" s="71" t="s">
        <v>483</v>
      </c>
      <c r="T3" s="71" t="s">
        <v>265</v>
      </c>
      <c r="U3" s="15">
        <v>1939</v>
      </c>
      <c r="V3" s="15" t="s">
        <v>266</v>
      </c>
      <c r="W3" s="15" t="s">
        <v>266</v>
      </c>
      <c r="X3" s="15" t="s">
        <v>266</v>
      </c>
      <c r="Y3" s="15" t="s">
        <v>267</v>
      </c>
      <c r="Z3" s="15" t="s">
        <v>268</v>
      </c>
      <c r="AA3" s="26">
        <v>1</v>
      </c>
      <c r="AB3" s="26">
        <v>0.7</v>
      </c>
      <c r="AG3" s="15">
        <v>20</v>
      </c>
      <c r="AH3" s="15"/>
      <c r="AI3" s="15">
        <v>6</v>
      </c>
      <c r="AK3" s="15">
        <v>5</v>
      </c>
      <c r="AO3" s="15">
        <v>6</v>
      </c>
      <c r="AV3" s="15"/>
      <c r="AZ3" s="25">
        <v>2.5</v>
      </c>
      <c r="BD3" s="15">
        <v>1</v>
      </c>
    </row>
    <row r="4" spans="1:59">
      <c r="A4" s="43" t="s">
        <v>484</v>
      </c>
      <c r="B4" s="43">
        <v>1947</v>
      </c>
      <c r="C4" s="43" t="s">
        <v>485</v>
      </c>
      <c r="D4" s="43">
        <v>90</v>
      </c>
      <c r="E4" s="43">
        <v>24</v>
      </c>
      <c r="F4" s="43">
        <v>27</v>
      </c>
      <c r="G4" s="43">
        <v>68</v>
      </c>
      <c r="H4" s="43">
        <v>9</v>
      </c>
      <c r="I4" s="43">
        <v>46</v>
      </c>
      <c r="J4" s="43">
        <v>46</v>
      </c>
      <c r="K4" s="43">
        <v>8</v>
      </c>
      <c r="M4" s="43" t="s">
        <v>476</v>
      </c>
      <c r="N4" s="43">
        <v>30</v>
      </c>
      <c r="S4" s="71"/>
      <c r="T4" s="71"/>
      <c r="U4">
        <v>1942</v>
      </c>
      <c r="V4" t="s">
        <v>269</v>
      </c>
      <c r="W4" t="s">
        <v>269</v>
      </c>
      <c r="X4" t="s">
        <v>269</v>
      </c>
      <c r="Y4" t="s">
        <v>270</v>
      </c>
      <c r="Z4" t="s">
        <v>271</v>
      </c>
      <c r="AA4" s="27">
        <f>AA3+5%</f>
        <v>1.05</v>
      </c>
      <c r="AB4" s="27">
        <f>AB3</f>
        <v>0.7</v>
      </c>
      <c r="AG4" s="34">
        <f>AG3</f>
        <v>20</v>
      </c>
      <c r="AI4">
        <f>AI3</f>
        <v>6</v>
      </c>
      <c r="AK4">
        <f>AK3+2.5</f>
        <v>7.5</v>
      </c>
      <c r="AO4">
        <f>AO3+0.5</f>
        <v>6.5</v>
      </c>
      <c r="AZ4" s="24">
        <f>AZ3+0.4</f>
        <v>2.9</v>
      </c>
      <c r="BD4">
        <v>1</v>
      </c>
    </row>
    <row r="5" spans="1:59">
      <c r="A5" s="43" t="s">
        <v>486</v>
      </c>
      <c r="B5" s="43">
        <v>1950</v>
      </c>
      <c r="C5" s="43" t="s">
        <v>485</v>
      </c>
      <c r="D5" s="43">
        <v>90</v>
      </c>
      <c r="E5" s="43">
        <v>28</v>
      </c>
      <c r="F5" s="43">
        <v>31</v>
      </c>
      <c r="G5" s="43">
        <v>81</v>
      </c>
      <c r="H5" s="43">
        <v>11</v>
      </c>
      <c r="I5" s="43">
        <v>54</v>
      </c>
      <c r="J5" s="43">
        <v>55</v>
      </c>
      <c r="K5" s="43">
        <v>8</v>
      </c>
      <c r="M5" s="43" t="s">
        <v>476</v>
      </c>
      <c r="N5" s="43">
        <v>40</v>
      </c>
      <c r="S5" s="71"/>
      <c r="T5" s="71"/>
      <c r="U5">
        <v>1944</v>
      </c>
      <c r="V5" t="s">
        <v>272</v>
      </c>
      <c r="W5" t="s">
        <v>272</v>
      </c>
      <c r="X5" t="s">
        <v>272</v>
      </c>
      <c r="Y5" t="s">
        <v>273</v>
      </c>
      <c r="Z5" t="s">
        <v>274</v>
      </c>
      <c r="AA5" s="27">
        <f>AA4+5%</f>
        <v>1.1000000000000001</v>
      </c>
      <c r="AB5" s="27">
        <f>AB4</f>
        <v>0.7</v>
      </c>
      <c r="AG5" s="34">
        <f>AG3</f>
        <v>20</v>
      </c>
      <c r="AI5">
        <f>AI4</f>
        <v>6</v>
      </c>
      <c r="AK5">
        <f t="shared" ref="AK5:AK12" si="0">AK4+2.5</f>
        <v>10</v>
      </c>
      <c r="AO5">
        <f t="shared" ref="AO5:AO12" si="1">AO4+0.5</f>
        <v>7</v>
      </c>
      <c r="AZ5" s="24">
        <f t="shared" ref="AZ5:AZ12" si="2">AZ4+0.4</f>
        <v>3.3</v>
      </c>
      <c r="BD5">
        <v>1</v>
      </c>
    </row>
    <row r="6" spans="1:59">
      <c r="A6" s="43" t="s">
        <v>487</v>
      </c>
      <c r="B6" s="43">
        <v>1960</v>
      </c>
      <c r="C6" s="43" t="s">
        <v>485</v>
      </c>
      <c r="D6" s="43">
        <v>90</v>
      </c>
      <c r="E6" s="43">
        <v>33</v>
      </c>
      <c r="F6" s="43">
        <v>36</v>
      </c>
      <c r="G6" s="43">
        <v>95</v>
      </c>
      <c r="H6" s="43">
        <v>13</v>
      </c>
      <c r="I6" s="43">
        <v>66</v>
      </c>
      <c r="J6" s="43">
        <v>61</v>
      </c>
      <c r="K6" s="43">
        <v>9</v>
      </c>
      <c r="M6" s="43" t="s">
        <v>476</v>
      </c>
      <c r="N6" s="43">
        <v>40</v>
      </c>
      <c r="S6" s="71"/>
      <c r="T6" s="71"/>
      <c r="U6">
        <v>1950</v>
      </c>
      <c r="V6" t="s">
        <v>275</v>
      </c>
      <c r="W6" t="s">
        <v>275</v>
      </c>
      <c r="X6" t="s">
        <v>275</v>
      </c>
      <c r="Y6" t="s">
        <v>276</v>
      </c>
      <c r="Z6" t="s">
        <v>277</v>
      </c>
      <c r="AA6" s="27">
        <f>AA5+5%</f>
        <v>1.1500000000000001</v>
      </c>
      <c r="AB6" s="27">
        <f>AB5</f>
        <v>0.7</v>
      </c>
      <c r="AG6" s="34">
        <f>AG3</f>
        <v>20</v>
      </c>
      <c r="AI6">
        <f>AI5</f>
        <v>6</v>
      </c>
      <c r="AK6">
        <f t="shared" si="0"/>
        <v>12.5</v>
      </c>
      <c r="AO6">
        <f t="shared" si="1"/>
        <v>7.5</v>
      </c>
      <c r="AZ6" s="24">
        <f t="shared" si="2"/>
        <v>3.6999999999999997</v>
      </c>
      <c r="BD6">
        <v>2</v>
      </c>
      <c r="BE6">
        <v>1</v>
      </c>
    </row>
    <row r="7" spans="1:59">
      <c r="A7" s="43" t="s">
        <v>488</v>
      </c>
      <c r="B7" s="43">
        <v>1942</v>
      </c>
      <c r="C7" s="43" t="s">
        <v>485</v>
      </c>
      <c r="D7" s="43">
        <v>80</v>
      </c>
      <c r="E7" s="43">
        <v>12</v>
      </c>
      <c r="F7" s="43">
        <v>16</v>
      </c>
      <c r="G7" s="43">
        <v>40</v>
      </c>
      <c r="H7" s="43">
        <v>8</v>
      </c>
      <c r="I7" s="43">
        <v>25</v>
      </c>
      <c r="J7" s="43">
        <v>30</v>
      </c>
      <c r="K7" s="43">
        <v>9</v>
      </c>
      <c r="M7" s="43" t="s">
        <v>489</v>
      </c>
      <c r="N7" s="43">
        <v>15</v>
      </c>
      <c r="S7" s="71"/>
      <c r="T7" s="71"/>
      <c r="U7">
        <v>1960</v>
      </c>
      <c r="V7" t="s">
        <v>278</v>
      </c>
      <c r="W7" t="s">
        <v>278</v>
      </c>
      <c r="X7" t="s">
        <v>278</v>
      </c>
      <c r="Y7" t="s">
        <v>279</v>
      </c>
      <c r="Z7" t="s">
        <v>280</v>
      </c>
      <c r="AA7" s="27">
        <f>AA6+5%</f>
        <v>1.2000000000000002</v>
      </c>
      <c r="AB7" s="27">
        <f>AB6</f>
        <v>0.7</v>
      </c>
      <c r="AG7" s="34">
        <f>AG4</f>
        <v>20</v>
      </c>
      <c r="AI7">
        <f>AI6</f>
        <v>6</v>
      </c>
      <c r="AK7">
        <f t="shared" si="0"/>
        <v>15</v>
      </c>
      <c r="AO7">
        <f t="shared" si="1"/>
        <v>8</v>
      </c>
      <c r="AZ7" s="24">
        <f>AZ6+0.4</f>
        <v>4.0999999999999996</v>
      </c>
      <c r="BD7">
        <v>2</v>
      </c>
      <c r="BE7">
        <v>1</v>
      </c>
    </row>
    <row r="8" spans="1:59">
      <c r="A8" s="43" t="s">
        <v>490</v>
      </c>
      <c r="B8" s="43">
        <v>1944</v>
      </c>
      <c r="C8" s="43" t="s">
        <v>485</v>
      </c>
      <c r="D8" s="43">
        <v>80</v>
      </c>
      <c r="E8" s="43">
        <v>15</v>
      </c>
      <c r="F8" s="43">
        <v>20</v>
      </c>
      <c r="G8" s="43">
        <v>50</v>
      </c>
      <c r="H8" s="43">
        <v>9</v>
      </c>
      <c r="I8" s="43">
        <v>30</v>
      </c>
      <c r="J8" s="43">
        <v>36</v>
      </c>
      <c r="K8" s="43">
        <v>10</v>
      </c>
      <c r="M8" s="43" t="s">
        <v>489</v>
      </c>
      <c r="N8" s="43">
        <v>18</v>
      </c>
      <c r="S8" s="71"/>
      <c r="T8" s="71"/>
      <c r="U8">
        <v>1970</v>
      </c>
      <c r="V8" t="s">
        <v>281</v>
      </c>
      <c r="W8" t="s">
        <v>281</v>
      </c>
      <c r="X8" t="s">
        <v>281</v>
      </c>
      <c r="Y8" t="s">
        <v>282</v>
      </c>
      <c r="Z8" t="s">
        <v>283</v>
      </c>
      <c r="AA8" s="27">
        <f>AA7+5%</f>
        <v>1.2500000000000002</v>
      </c>
      <c r="AB8" s="27">
        <f>AB7</f>
        <v>0.7</v>
      </c>
      <c r="AG8" s="34">
        <f>AG5</f>
        <v>20</v>
      </c>
      <c r="AI8">
        <f>AI7</f>
        <v>6</v>
      </c>
      <c r="AK8">
        <f t="shared" si="0"/>
        <v>17.5</v>
      </c>
      <c r="AO8">
        <f t="shared" si="1"/>
        <v>8.5</v>
      </c>
      <c r="AZ8" s="24">
        <f t="shared" si="2"/>
        <v>4.5</v>
      </c>
      <c r="BD8">
        <v>2</v>
      </c>
      <c r="BE8">
        <v>1</v>
      </c>
    </row>
    <row r="9" spans="1:59">
      <c r="A9" s="43" t="s">
        <v>491</v>
      </c>
      <c r="B9" s="43">
        <v>1947</v>
      </c>
      <c r="C9" s="43" t="s">
        <v>485</v>
      </c>
      <c r="D9" s="43">
        <v>80</v>
      </c>
      <c r="E9" s="43">
        <v>19</v>
      </c>
      <c r="F9" s="43">
        <v>21</v>
      </c>
      <c r="G9" s="43">
        <v>60</v>
      </c>
      <c r="H9" s="43">
        <v>11</v>
      </c>
      <c r="I9" s="43">
        <v>38</v>
      </c>
      <c r="J9" s="43">
        <v>38</v>
      </c>
      <c r="K9" s="43">
        <v>10</v>
      </c>
      <c r="M9" s="43" t="s">
        <v>489</v>
      </c>
      <c r="N9" s="43" t="s">
        <v>492</v>
      </c>
      <c r="S9" s="71"/>
      <c r="T9" s="71"/>
      <c r="U9">
        <v>1980</v>
      </c>
      <c r="V9" t="s">
        <v>284</v>
      </c>
      <c r="W9" t="s">
        <v>284</v>
      </c>
      <c r="X9" t="s">
        <v>284</v>
      </c>
      <c r="Y9" t="s">
        <v>285</v>
      </c>
      <c r="Z9" t="s">
        <v>286</v>
      </c>
      <c r="AA9" s="27">
        <f>AA8+5%</f>
        <v>1.3000000000000003</v>
      </c>
      <c r="AB9" s="27">
        <f>AB8</f>
        <v>0.7</v>
      </c>
      <c r="AG9" s="34">
        <f>AG6</f>
        <v>20</v>
      </c>
      <c r="AI9">
        <f>AI8</f>
        <v>6</v>
      </c>
      <c r="AK9">
        <f t="shared" si="0"/>
        <v>20</v>
      </c>
      <c r="AO9">
        <f t="shared" si="1"/>
        <v>9</v>
      </c>
      <c r="AZ9" s="24">
        <f t="shared" si="2"/>
        <v>4.9000000000000004</v>
      </c>
      <c r="BD9">
        <v>2</v>
      </c>
      <c r="BE9">
        <v>1</v>
      </c>
    </row>
    <row r="10" spans="1:59">
      <c r="A10" s="43" t="s">
        <v>493</v>
      </c>
      <c r="B10" s="43">
        <v>1950</v>
      </c>
      <c r="C10" s="43" t="s">
        <v>485</v>
      </c>
      <c r="D10" s="43">
        <v>80</v>
      </c>
      <c r="E10" s="43">
        <v>22</v>
      </c>
      <c r="F10" s="43">
        <v>25</v>
      </c>
      <c r="G10" s="43">
        <v>72</v>
      </c>
      <c r="H10" s="43">
        <v>14</v>
      </c>
      <c r="I10" s="43">
        <v>45</v>
      </c>
      <c r="J10" s="43">
        <v>46</v>
      </c>
      <c r="K10" s="43">
        <v>11</v>
      </c>
      <c r="M10" s="43" t="s">
        <v>489</v>
      </c>
      <c r="N10" s="43">
        <v>26</v>
      </c>
      <c r="S10" s="71"/>
      <c r="T10" s="71"/>
      <c r="U10">
        <v>1990</v>
      </c>
      <c r="V10" t="s">
        <v>287</v>
      </c>
      <c r="W10" t="s">
        <v>287</v>
      </c>
      <c r="X10" t="s">
        <v>287</v>
      </c>
      <c r="Y10" t="s">
        <v>288</v>
      </c>
      <c r="Z10" t="s">
        <v>289</v>
      </c>
      <c r="AA10" s="27">
        <f>AA9+5%</f>
        <v>1.3500000000000003</v>
      </c>
      <c r="AB10" s="27">
        <f>AB9</f>
        <v>0.7</v>
      </c>
      <c r="AG10" s="34">
        <f>AG7</f>
        <v>20</v>
      </c>
      <c r="AI10">
        <f>AI9</f>
        <v>6</v>
      </c>
      <c r="AK10">
        <f t="shared" si="0"/>
        <v>22.5</v>
      </c>
      <c r="AO10">
        <f t="shared" si="1"/>
        <v>9.5</v>
      </c>
      <c r="AZ10" s="24">
        <f t="shared" si="2"/>
        <v>5.3000000000000007</v>
      </c>
      <c r="BD10">
        <v>2</v>
      </c>
      <c r="BE10">
        <v>1</v>
      </c>
    </row>
    <row r="11" spans="1:59">
      <c r="A11" s="43" t="s">
        <v>494</v>
      </c>
      <c r="B11" s="43">
        <v>1960</v>
      </c>
      <c r="C11" s="43" t="s">
        <v>485</v>
      </c>
      <c r="D11" s="43">
        <v>80</v>
      </c>
      <c r="E11" s="43">
        <v>26</v>
      </c>
      <c r="F11" s="43">
        <v>29</v>
      </c>
      <c r="G11" s="43">
        <v>84</v>
      </c>
      <c r="H11" s="43">
        <v>16</v>
      </c>
      <c r="I11" s="43">
        <v>55</v>
      </c>
      <c r="J11" s="43">
        <v>50</v>
      </c>
      <c r="K11" s="43">
        <v>12</v>
      </c>
      <c r="M11" s="43" t="s">
        <v>489</v>
      </c>
      <c r="N11" s="43">
        <v>30</v>
      </c>
      <c r="S11" s="71"/>
      <c r="T11" s="71"/>
      <c r="U11">
        <v>2000</v>
      </c>
      <c r="V11" t="s">
        <v>290</v>
      </c>
      <c r="W11" t="s">
        <v>290</v>
      </c>
      <c r="X11" t="s">
        <v>290</v>
      </c>
      <c r="Y11" t="s">
        <v>291</v>
      </c>
      <c r="Z11" t="s">
        <v>292</v>
      </c>
      <c r="AA11" s="27">
        <f>AA10+5%</f>
        <v>1.4000000000000004</v>
      </c>
      <c r="AB11" s="27">
        <f>AB10</f>
        <v>0.7</v>
      </c>
      <c r="AG11" s="34">
        <f>AG8</f>
        <v>20</v>
      </c>
      <c r="AI11">
        <f>AI10</f>
        <v>6</v>
      </c>
      <c r="AK11">
        <f t="shared" si="0"/>
        <v>25</v>
      </c>
      <c r="AO11">
        <f t="shared" si="1"/>
        <v>10</v>
      </c>
      <c r="AZ11" s="24">
        <f t="shared" si="2"/>
        <v>5.7000000000000011</v>
      </c>
      <c r="BD11">
        <v>2</v>
      </c>
      <c r="BE11">
        <v>1</v>
      </c>
    </row>
    <row r="12" spans="1:59">
      <c r="A12" s="43" t="s">
        <v>495</v>
      </c>
      <c r="B12" s="43">
        <v>1965</v>
      </c>
      <c r="C12" s="43" t="s">
        <v>485</v>
      </c>
      <c r="D12" s="43">
        <v>80</v>
      </c>
      <c r="E12" s="43">
        <v>30</v>
      </c>
      <c r="F12" s="43">
        <v>33</v>
      </c>
      <c r="G12" s="43">
        <v>98</v>
      </c>
      <c r="H12" s="43">
        <v>18</v>
      </c>
      <c r="I12" s="43">
        <v>60</v>
      </c>
      <c r="J12" s="43">
        <v>61</v>
      </c>
      <c r="K12" s="43">
        <v>13</v>
      </c>
      <c r="M12" s="43" t="s">
        <v>489</v>
      </c>
      <c r="N12" s="43">
        <v>34</v>
      </c>
      <c r="S12" s="71"/>
      <c r="T12" s="71"/>
      <c r="U12">
        <v>2010</v>
      </c>
      <c r="V12" t="s">
        <v>293</v>
      </c>
      <c r="W12" t="s">
        <v>293</v>
      </c>
      <c r="X12" t="s">
        <v>293</v>
      </c>
      <c r="Y12" t="s">
        <v>294</v>
      </c>
      <c r="Z12" t="s">
        <v>295</v>
      </c>
      <c r="AA12" s="27">
        <f>AA11+5%</f>
        <v>1.4500000000000004</v>
      </c>
      <c r="AB12" s="27">
        <f>AB11</f>
        <v>0.7</v>
      </c>
      <c r="AG12" s="34">
        <f>AG9</f>
        <v>20</v>
      </c>
      <c r="AI12">
        <f>AI11</f>
        <v>6</v>
      </c>
      <c r="AK12">
        <f t="shared" si="0"/>
        <v>27.5</v>
      </c>
      <c r="AO12">
        <f t="shared" si="1"/>
        <v>10.5</v>
      </c>
      <c r="AZ12" s="24">
        <f t="shared" si="2"/>
        <v>6.1000000000000014</v>
      </c>
      <c r="BD12">
        <v>2</v>
      </c>
      <c r="BE12">
        <v>1</v>
      </c>
    </row>
    <row r="13" spans="1:59">
      <c r="A13" s="43" t="s">
        <v>496</v>
      </c>
      <c r="B13" s="43">
        <v>1975</v>
      </c>
      <c r="C13" s="43" t="s">
        <v>485</v>
      </c>
      <c r="D13" s="43">
        <v>80</v>
      </c>
      <c r="E13" s="43">
        <v>34</v>
      </c>
      <c r="F13" s="43">
        <v>37</v>
      </c>
      <c r="G13" s="43">
        <v>112</v>
      </c>
      <c r="H13" s="43">
        <v>21</v>
      </c>
      <c r="I13" s="43">
        <v>70</v>
      </c>
      <c r="J13" s="43">
        <v>66</v>
      </c>
      <c r="K13" s="43">
        <v>14</v>
      </c>
      <c r="M13" s="43" t="s">
        <v>489</v>
      </c>
      <c r="N13" s="43" t="s">
        <v>497</v>
      </c>
      <c r="S13" s="71"/>
    </row>
    <row r="14" spans="1:59">
      <c r="A14" s="44" t="s">
        <v>498</v>
      </c>
      <c r="B14" s="44">
        <v>1985</v>
      </c>
      <c r="C14" s="44" t="s">
        <v>485</v>
      </c>
      <c r="D14" s="44">
        <v>80</v>
      </c>
      <c r="E14" s="44">
        <v>41</v>
      </c>
      <c r="F14" s="44">
        <v>43</v>
      </c>
      <c r="G14" s="44">
        <v>128</v>
      </c>
      <c r="H14" s="44">
        <v>24</v>
      </c>
      <c r="I14" s="44">
        <v>80</v>
      </c>
      <c r="J14" s="44">
        <v>75</v>
      </c>
      <c r="K14" s="44">
        <v>14</v>
      </c>
      <c r="L14" s="19"/>
      <c r="M14" s="44" t="s">
        <v>489</v>
      </c>
      <c r="N14" s="44">
        <v>42</v>
      </c>
      <c r="S14" s="71"/>
      <c r="T14" s="71" t="s">
        <v>296</v>
      </c>
      <c r="U14" s="15">
        <v>1939</v>
      </c>
      <c r="V14" s="15" t="s">
        <v>297</v>
      </c>
      <c r="W14" s="15" t="s">
        <v>297</v>
      </c>
      <c r="X14" s="15" t="s">
        <v>297</v>
      </c>
      <c r="Y14" s="15" t="s">
        <v>298</v>
      </c>
      <c r="Z14" s="15" t="s">
        <v>299</v>
      </c>
      <c r="AA14" s="26">
        <v>1.1000000000000001</v>
      </c>
      <c r="AB14" s="26">
        <v>0.8</v>
      </c>
      <c r="AG14" s="15">
        <v>30</v>
      </c>
      <c r="AH14" s="15"/>
      <c r="AI14" s="15">
        <v>5</v>
      </c>
      <c r="AK14" s="15">
        <v>30</v>
      </c>
      <c r="AO14" s="15">
        <v>5</v>
      </c>
      <c r="AV14" s="15"/>
      <c r="AZ14" s="25">
        <v>5</v>
      </c>
      <c r="BD14">
        <v>2</v>
      </c>
    </row>
    <row r="15" spans="1:59">
      <c r="A15" s="43" t="s">
        <v>499</v>
      </c>
      <c r="B15" s="43">
        <v>1980</v>
      </c>
      <c r="C15" s="43">
        <v>140</v>
      </c>
      <c r="D15" s="43">
        <v>80</v>
      </c>
      <c r="E15" s="43"/>
      <c r="F15" s="43"/>
      <c r="G15" s="43">
        <v>30</v>
      </c>
      <c r="H15" s="43">
        <v>6</v>
      </c>
      <c r="I15" s="43">
        <v>60</v>
      </c>
      <c r="J15" s="43"/>
      <c r="K15" s="43">
        <v>9</v>
      </c>
      <c r="M15" s="43"/>
      <c r="N15" s="43">
        <v>24</v>
      </c>
      <c r="S15" s="71"/>
      <c r="T15" s="71"/>
      <c r="U15">
        <v>1942</v>
      </c>
      <c r="V15" t="s">
        <v>300</v>
      </c>
      <c r="W15" t="s">
        <v>300</v>
      </c>
      <c r="X15" t="s">
        <v>300</v>
      </c>
      <c r="Y15" s="34" t="s">
        <v>301</v>
      </c>
      <c r="Z15" t="s">
        <v>302</v>
      </c>
      <c r="AA15" s="27">
        <f>AA14+5%</f>
        <v>1.1500000000000001</v>
      </c>
      <c r="AB15" s="27">
        <f>AB14</f>
        <v>0.8</v>
      </c>
      <c r="AG15" s="34">
        <f>AG14</f>
        <v>30</v>
      </c>
      <c r="AI15">
        <f>AI14</f>
        <v>5</v>
      </c>
      <c r="AK15">
        <f t="shared" ref="AK15:AK23" si="3">AK14+5</f>
        <v>35</v>
      </c>
      <c r="AO15">
        <f t="shared" ref="AO15:AO23" si="4">AO14+0.5</f>
        <v>5.5</v>
      </c>
      <c r="AZ15" s="24">
        <f>AZ14+0.75</f>
        <v>5.75</v>
      </c>
      <c r="BD15">
        <v>2</v>
      </c>
    </row>
    <row r="16" spans="1:59">
      <c r="A16" s="43" t="s">
        <v>500</v>
      </c>
      <c r="B16" s="43">
        <v>1995</v>
      </c>
      <c r="C16" s="43" t="s">
        <v>485</v>
      </c>
      <c r="D16" s="43">
        <v>80</v>
      </c>
      <c r="E16" s="43">
        <v>46</v>
      </c>
      <c r="F16" s="43">
        <v>48</v>
      </c>
      <c r="G16" s="43">
        <v>144</v>
      </c>
      <c r="H16" s="43">
        <v>27</v>
      </c>
      <c r="I16" s="43">
        <v>90</v>
      </c>
      <c r="J16" s="43">
        <v>80</v>
      </c>
      <c r="K16" s="43">
        <v>15</v>
      </c>
      <c r="M16" s="43" t="s">
        <v>489</v>
      </c>
      <c r="N16" s="43">
        <v>45</v>
      </c>
      <c r="S16" s="71"/>
      <c r="T16" s="71"/>
      <c r="U16">
        <v>1944</v>
      </c>
      <c r="V16" t="s">
        <v>303</v>
      </c>
      <c r="W16" t="s">
        <v>303</v>
      </c>
      <c r="X16" t="s">
        <v>303</v>
      </c>
      <c r="Y16" s="34" t="s">
        <v>304</v>
      </c>
      <c r="Z16" t="s">
        <v>305</v>
      </c>
      <c r="AA16" s="27">
        <f>AA15+5%</f>
        <v>1.2000000000000002</v>
      </c>
      <c r="AB16" s="27">
        <f>AB15</f>
        <v>0.8</v>
      </c>
      <c r="AG16" s="34">
        <f>AG15</f>
        <v>30</v>
      </c>
      <c r="AI16">
        <f t="shared" ref="AI16:AI23" si="5">AI15</f>
        <v>5</v>
      </c>
      <c r="AK16">
        <f t="shared" si="3"/>
        <v>40</v>
      </c>
      <c r="AO16">
        <f t="shared" si="4"/>
        <v>6</v>
      </c>
      <c r="AZ16" s="24">
        <f t="shared" ref="AZ16:AZ22" si="6">AZ15+0.75</f>
        <v>6.5</v>
      </c>
      <c r="BD16">
        <v>2</v>
      </c>
    </row>
    <row r="17" spans="1:59">
      <c r="A17" s="43" t="s">
        <v>501</v>
      </c>
      <c r="B17" s="43">
        <v>2005</v>
      </c>
      <c r="C17" s="43" t="s">
        <v>485</v>
      </c>
      <c r="D17" s="43">
        <v>80</v>
      </c>
      <c r="E17" s="43">
        <v>50</v>
      </c>
      <c r="F17" s="43">
        <v>54</v>
      </c>
      <c r="G17" s="43">
        <v>162</v>
      </c>
      <c r="H17" s="43">
        <v>30</v>
      </c>
      <c r="I17" s="43">
        <v>100</v>
      </c>
      <c r="J17" s="43">
        <v>85</v>
      </c>
      <c r="K17" s="43">
        <v>17</v>
      </c>
      <c r="M17" s="43" t="s">
        <v>489</v>
      </c>
      <c r="N17" s="43">
        <v>50</v>
      </c>
      <c r="S17" s="71"/>
      <c r="T17" s="71"/>
      <c r="U17">
        <v>1950</v>
      </c>
      <c r="V17" t="s">
        <v>306</v>
      </c>
      <c r="W17" t="s">
        <v>306</v>
      </c>
      <c r="X17" t="s">
        <v>306</v>
      </c>
      <c r="Y17" s="34" t="s">
        <v>307</v>
      </c>
      <c r="Z17" t="s">
        <v>308</v>
      </c>
      <c r="AA17" s="27">
        <f>AA16+5%</f>
        <v>1.2500000000000002</v>
      </c>
      <c r="AB17" s="27">
        <f>AB16</f>
        <v>0.8</v>
      </c>
      <c r="AG17" s="34">
        <f>AG16</f>
        <v>30</v>
      </c>
      <c r="AI17">
        <f t="shared" si="5"/>
        <v>5</v>
      </c>
      <c r="AK17">
        <f t="shared" si="3"/>
        <v>45</v>
      </c>
      <c r="AO17">
        <f t="shared" si="4"/>
        <v>6.5</v>
      </c>
      <c r="AZ17" s="24">
        <f t="shared" si="6"/>
        <v>7.25</v>
      </c>
      <c r="BD17">
        <v>3</v>
      </c>
    </row>
    <row r="18" spans="1:59">
      <c r="A18" s="43" t="s">
        <v>502</v>
      </c>
      <c r="B18" s="43">
        <v>1942</v>
      </c>
      <c r="C18" s="43" t="s">
        <v>485</v>
      </c>
      <c r="D18" s="43">
        <v>70</v>
      </c>
      <c r="E18" s="43">
        <v>9</v>
      </c>
      <c r="F18" s="43">
        <v>8</v>
      </c>
      <c r="G18" s="43">
        <v>35</v>
      </c>
      <c r="H18" s="43">
        <v>9</v>
      </c>
      <c r="I18" s="43">
        <v>20</v>
      </c>
      <c r="J18" s="43">
        <v>24</v>
      </c>
      <c r="K18" s="43">
        <v>11</v>
      </c>
      <c r="M18" s="43" t="s">
        <v>503</v>
      </c>
      <c r="N18" s="43">
        <v>10</v>
      </c>
      <c r="S18" s="71"/>
      <c r="T18" s="71"/>
      <c r="U18">
        <v>1960</v>
      </c>
      <c r="V18" t="s">
        <v>309</v>
      </c>
      <c r="W18" t="s">
        <v>309</v>
      </c>
      <c r="X18" t="s">
        <v>309</v>
      </c>
      <c r="Y18" s="34" t="s">
        <v>310</v>
      </c>
      <c r="Z18" t="s">
        <v>311</v>
      </c>
      <c r="AA18" s="27">
        <f>AA17+5%</f>
        <v>1.3000000000000003</v>
      </c>
      <c r="AB18" s="27">
        <f>AB17</f>
        <v>0.8</v>
      </c>
      <c r="AG18" s="34">
        <f>AG17</f>
        <v>30</v>
      </c>
      <c r="AI18">
        <f t="shared" si="5"/>
        <v>5</v>
      </c>
      <c r="AK18">
        <f t="shared" si="3"/>
        <v>50</v>
      </c>
      <c r="AO18">
        <f t="shared" si="4"/>
        <v>7</v>
      </c>
      <c r="AZ18" s="24">
        <f t="shared" si="6"/>
        <v>8</v>
      </c>
      <c r="BD18">
        <v>3</v>
      </c>
    </row>
    <row r="19" spans="1:59">
      <c r="A19" s="43" t="s">
        <v>504</v>
      </c>
      <c r="B19" s="43">
        <v>1944</v>
      </c>
      <c r="C19" s="43" t="s">
        <v>485</v>
      </c>
      <c r="D19" s="43">
        <v>70</v>
      </c>
      <c r="E19" s="43">
        <v>11</v>
      </c>
      <c r="F19" s="43">
        <v>10</v>
      </c>
      <c r="G19" s="43">
        <v>44</v>
      </c>
      <c r="H19" s="43">
        <v>11</v>
      </c>
      <c r="I19" s="43">
        <v>24</v>
      </c>
      <c r="J19" s="43">
        <v>29</v>
      </c>
      <c r="K19" s="43">
        <v>12</v>
      </c>
      <c r="M19" s="43" t="s">
        <v>503</v>
      </c>
      <c r="N19" s="43" t="s">
        <v>505</v>
      </c>
      <c r="S19" s="71"/>
      <c r="T19" s="71"/>
      <c r="U19">
        <v>1970</v>
      </c>
      <c r="V19" t="s">
        <v>312</v>
      </c>
      <c r="W19" t="s">
        <v>312</v>
      </c>
      <c r="X19" t="s">
        <v>312</v>
      </c>
      <c r="Y19" s="34" t="s">
        <v>313</v>
      </c>
      <c r="Z19" t="s">
        <v>314</v>
      </c>
      <c r="AA19" s="27">
        <f>AA18+5%</f>
        <v>1.3500000000000003</v>
      </c>
      <c r="AB19" s="27">
        <f>AB18</f>
        <v>0.8</v>
      </c>
      <c r="AG19" s="34">
        <f>AG18</f>
        <v>30</v>
      </c>
      <c r="AI19">
        <f t="shared" si="5"/>
        <v>5</v>
      </c>
      <c r="AK19">
        <f t="shared" si="3"/>
        <v>55</v>
      </c>
      <c r="AO19">
        <f t="shared" si="4"/>
        <v>7.5</v>
      </c>
      <c r="AZ19" s="24">
        <f t="shared" si="6"/>
        <v>8.75</v>
      </c>
      <c r="BD19">
        <v>3</v>
      </c>
    </row>
    <row r="20" spans="1:59">
      <c r="A20" s="43" t="s">
        <v>506</v>
      </c>
      <c r="B20" s="43">
        <v>1947</v>
      </c>
      <c r="C20" s="43" t="s">
        <v>485</v>
      </c>
      <c r="D20" s="43">
        <v>70</v>
      </c>
      <c r="E20" s="43">
        <v>14</v>
      </c>
      <c r="F20" s="43">
        <v>11</v>
      </c>
      <c r="G20" s="43">
        <v>53</v>
      </c>
      <c r="H20" s="43">
        <v>13</v>
      </c>
      <c r="I20" s="43">
        <v>30</v>
      </c>
      <c r="J20" s="43">
        <v>31</v>
      </c>
      <c r="K20" s="43">
        <v>13</v>
      </c>
      <c r="M20" s="43" t="s">
        <v>503</v>
      </c>
      <c r="N20" s="43">
        <v>15</v>
      </c>
      <c r="S20" s="71"/>
      <c r="T20" s="71"/>
      <c r="U20">
        <v>1980</v>
      </c>
      <c r="V20" t="s">
        <v>315</v>
      </c>
      <c r="W20" t="s">
        <v>315</v>
      </c>
      <c r="X20" t="s">
        <v>315</v>
      </c>
      <c r="Y20" s="34" t="s">
        <v>316</v>
      </c>
      <c r="Z20" t="s">
        <v>317</v>
      </c>
      <c r="AA20" s="27">
        <f>AA19+5%</f>
        <v>1.4000000000000004</v>
      </c>
      <c r="AB20" s="27">
        <f>AB19</f>
        <v>0.8</v>
      </c>
      <c r="AG20" s="34">
        <f>AG19</f>
        <v>30</v>
      </c>
      <c r="AI20">
        <f t="shared" si="5"/>
        <v>5</v>
      </c>
      <c r="AK20">
        <f t="shared" si="3"/>
        <v>60</v>
      </c>
      <c r="AO20">
        <f t="shared" si="4"/>
        <v>8</v>
      </c>
      <c r="AZ20" s="24">
        <f t="shared" si="6"/>
        <v>9.5</v>
      </c>
      <c r="BD20">
        <v>3</v>
      </c>
    </row>
    <row r="21" spans="1:59">
      <c r="A21" s="43" t="s">
        <v>507</v>
      </c>
      <c r="B21" s="43">
        <v>1960</v>
      </c>
      <c r="C21" s="43" t="s">
        <v>485</v>
      </c>
      <c r="D21" s="43">
        <v>70</v>
      </c>
      <c r="E21" s="43">
        <v>20</v>
      </c>
      <c r="F21" s="43">
        <v>15</v>
      </c>
      <c r="G21" s="43">
        <v>74</v>
      </c>
      <c r="H21" s="43">
        <v>18</v>
      </c>
      <c r="I21" s="43">
        <v>44</v>
      </c>
      <c r="J21" s="43">
        <v>40</v>
      </c>
      <c r="K21" s="43">
        <v>15</v>
      </c>
      <c r="M21" s="43" t="s">
        <v>503</v>
      </c>
      <c r="N21" s="43">
        <v>20</v>
      </c>
      <c r="S21" s="71"/>
      <c r="T21" s="71"/>
      <c r="U21">
        <v>1990</v>
      </c>
      <c r="V21" t="s">
        <v>318</v>
      </c>
      <c r="W21" t="s">
        <v>318</v>
      </c>
      <c r="X21" t="s">
        <v>318</v>
      </c>
      <c r="Y21" s="34" t="s">
        <v>319</v>
      </c>
      <c r="Z21" t="s">
        <v>320</v>
      </c>
      <c r="AA21" s="27">
        <f>AA20+5%</f>
        <v>1.4500000000000004</v>
      </c>
      <c r="AB21" s="27">
        <f>AB20</f>
        <v>0.8</v>
      </c>
      <c r="AG21" s="34">
        <f>AG20</f>
        <v>30</v>
      </c>
      <c r="AI21">
        <f t="shared" si="5"/>
        <v>5</v>
      </c>
      <c r="AK21">
        <f t="shared" si="3"/>
        <v>65</v>
      </c>
      <c r="AO21">
        <f t="shared" si="4"/>
        <v>8.5</v>
      </c>
      <c r="AZ21" s="24">
        <f t="shared" si="6"/>
        <v>10.25</v>
      </c>
      <c r="BD21">
        <v>3</v>
      </c>
    </row>
    <row r="22" spans="1:59">
      <c r="A22" s="43" t="s">
        <v>508</v>
      </c>
      <c r="B22" s="43">
        <v>1975</v>
      </c>
      <c r="C22" s="43" t="s">
        <v>485</v>
      </c>
      <c r="D22" s="43">
        <v>70</v>
      </c>
      <c r="E22" s="43">
        <v>26</v>
      </c>
      <c r="F22" s="43">
        <v>19</v>
      </c>
      <c r="G22" s="43">
        <v>98</v>
      </c>
      <c r="H22" s="43">
        <v>25</v>
      </c>
      <c r="I22" s="43">
        <v>56</v>
      </c>
      <c r="J22" s="43">
        <v>53</v>
      </c>
      <c r="K22" s="43">
        <v>17</v>
      </c>
      <c r="M22" s="43" t="s">
        <v>503</v>
      </c>
      <c r="N22" s="43">
        <v>25</v>
      </c>
      <c r="S22" s="71"/>
      <c r="T22" s="71"/>
      <c r="U22">
        <v>2010</v>
      </c>
      <c r="V22" t="s">
        <v>321</v>
      </c>
      <c r="W22" t="s">
        <v>321</v>
      </c>
      <c r="X22" t="s">
        <v>321</v>
      </c>
      <c r="Y22" s="34" t="s">
        <v>322</v>
      </c>
      <c r="Z22" t="s">
        <v>323</v>
      </c>
      <c r="AA22" s="27">
        <f>AA21+5%</f>
        <v>1.5000000000000004</v>
      </c>
      <c r="AB22" s="27">
        <f>AB21</f>
        <v>0.8</v>
      </c>
      <c r="AG22" s="34">
        <f>AG21</f>
        <v>30</v>
      </c>
      <c r="AI22">
        <f t="shared" si="5"/>
        <v>5</v>
      </c>
      <c r="AK22">
        <f t="shared" si="3"/>
        <v>70</v>
      </c>
      <c r="AO22">
        <f t="shared" si="4"/>
        <v>9</v>
      </c>
      <c r="AZ22" s="24">
        <f t="shared" si="6"/>
        <v>11</v>
      </c>
      <c r="BD22">
        <v>3</v>
      </c>
    </row>
    <row r="23" spans="1:59">
      <c r="A23" s="43" t="s">
        <v>509</v>
      </c>
      <c r="B23" s="43">
        <v>1995</v>
      </c>
      <c r="C23" s="43" t="s">
        <v>485</v>
      </c>
      <c r="D23" s="43">
        <v>70</v>
      </c>
      <c r="E23" s="43">
        <v>34</v>
      </c>
      <c r="F23" s="43">
        <v>24</v>
      </c>
      <c r="G23" s="43">
        <v>126</v>
      </c>
      <c r="H23" s="43">
        <v>32</v>
      </c>
      <c r="I23" s="43">
        <v>72</v>
      </c>
      <c r="J23" s="43">
        <v>64</v>
      </c>
      <c r="K23" s="43">
        <v>19</v>
      </c>
      <c r="M23" s="43" t="s">
        <v>503</v>
      </c>
      <c r="N23" s="43">
        <v>30</v>
      </c>
      <c r="S23" s="71"/>
      <c r="T23" s="71"/>
      <c r="U23">
        <v>2020</v>
      </c>
      <c r="V23" t="s">
        <v>324</v>
      </c>
      <c r="W23" t="s">
        <v>324</v>
      </c>
      <c r="X23" t="s">
        <v>324</v>
      </c>
      <c r="Y23" s="34" t="s">
        <v>325</v>
      </c>
      <c r="Z23" t="s">
        <v>326</v>
      </c>
      <c r="AA23" s="27">
        <f>AA22+5%</f>
        <v>1.5500000000000005</v>
      </c>
      <c r="AB23" s="27">
        <f>AB22</f>
        <v>0.8</v>
      </c>
      <c r="AG23" s="34">
        <f>AG22</f>
        <v>30</v>
      </c>
      <c r="AI23">
        <f t="shared" si="5"/>
        <v>5</v>
      </c>
      <c r="AK23">
        <f t="shared" si="3"/>
        <v>75</v>
      </c>
      <c r="AO23">
        <f t="shared" si="4"/>
        <v>9.5</v>
      </c>
      <c r="AZ23" s="24">
        <f>AZ22+0.75</f>
        <v>11.75</v>
      </c>
      <c r="BD23">
        <v>3</v>
      </c>
    </row>
    <row r="24" spans="1:59">
      <c r="A24" s="43" t="s">
        <v>510</v>
      </c>
      <c r="B24" s="43">
        <v>1942</v>
      </c>
      <c r="C24" s="43" t="s">
        <v>485</v>
      </c>
      <c r="D24" s="43">
        <v>50</v>
      </c>
      <c r="E24" s="43">
        <v>0</v>
      </c>
      <c r="F24" s="43">
        <v>0</v>
      </c>
      <c r="G24" s="43">
        <v>4</v>
      </c>
      <c r="H24" s="43">
        <v>10</v>
      </c>
      <c r="I24" s="43">
        <v>10</v>
      </c>
      <c r="J24" s="43">
        <v>0</v>
      </c>
      <c r="K24" s="43">
        <v>12</v>
      </c>
      <c r="M24" s="43" t="s">
        <v>503</v>
      </c>
      <c r="N24" s="43">
        <v>5</v>
      </c>
      <c r="S24" s="71"/>
    </row>
    <row r="25" spans="1:59">
      <c r="A25" s="43" t="s">
        <v>511</v>
      </c>
      <c r="B25" s="43">
        <v>1944</v>
      </c>
      <c r="C25" s="43" t="s">
        <v>485</v>
      </c>
      <c r="D25" s="43">
        <v>50</v>
      </c>
      <c r="E25" s="43">
        <v>0</v>
      </c>
      <c r="F25" s="43">
        <v>0</v>
      </c>
      <c r="G25" s="43">
        <v>5</v>
      </c>
      <c r="H25" s="43">
        <v>13</v>
      </c>
      <c r="I25" s="43">
        <v>12</v>
      </c>
      <c r="J25" s="43">
        <v>0</v>
      </c>
      <c r="K25" s="43">
        <v>13</v>
      </c>
      <c r="M25" s="43" t="s">
        <v>503</v>
      </c>
      <c r="N25" s="43">
        <v>6</v>
      </c>
      <c r="S25" s="71"/>
      <c r="T25" s="71" t="s">
        <v>327</v>
      </c>
      <c r="U25" s="15">
        <v>1939</v>
      </c>
      <c r="V25" s="15" t="s">
        <v>328</v>
      </c>
      <c r="W25" s="15" t="s">
        <v>328</v>
      </c>
      <c r="X25" s="15" t="s">
        <v>328</v>
      </c>
      <c r="Y25" s="15" t="s">
        <v>329</v>
      </c>
      <c r="Z25" s="15" t="s">
        <v>330</v>
      </c>
      <c r="AA25" s="26">
        <v>1.2</v>
      </c>
      <c r="AB25" s="33">
        <v>0.85</v>
      </c>
      <c r="AG25" s="15">
        <v>35</v>
      </c>
      <c r="AI25" s="15">
        <v>4</v>
      </c>
      <c r="AK25" s="15">
        <v>45</v>
      </c>
      <c r="AO25" s="15">
        <v>4</v>
      </c>
      <c r="AV25" s="15"/>
      <c r="AZ25" s="25">
        <v>9</v>
      </c>
      <c r="BD25">
        <v>3</v>
      </c>
    </row>
    <row r="26" spans="1:59">
      <c r="A26" s="43" t="s">
        <v>512</v>
      </c>
      <c r="B26" s="43">
        <v>1947</v>
      </c>
      <c r="C26" s="43" t="s">
        <v>485</v>
      </c>
      <c r="D26" s="43">
        <v>60</v>
      </c>
      <c r="E26" s="43">
        <v>6</v>
      </c>
      <c r="F26" s="43">
        <v>9</v>
      </c>
      <c r="G26" s="43">
        <v>12</v>
      </c>
      <c r="H26" s="43">
        <v>30</v>
      </c>
      <c r="I26" s="43">
        <v>30</v>
      </c>
      <c r="J26" s="43">
        <v>15</v>
      </c>
      <c r="K26" s="43">
        <v>12</v>
      </c>
      <c r="M26" s="43" t="s">
        <v>513</v>
      </c>
      <c r="N26" s="43" t="s">
        <v>505</v>
      </c>
      <c r="S26" s="71"/>
      <c r="T26" s="71"/>
      <c r="U26">
        <v>1942</v>
      </c>
      <c r="V26" t="s">
        <v>331</v>
      </c>
      <c r="W26" t="s">
        <v>331</v>
      </c>
      <c r="X26" t="s">
        <v>331</v>
      </c>
      <c r="Y26" t="s">
        <v>332</v>
      </c>
      <c r="Z26" t="s">
        <v>333</v>
      </c>
      <c r="AA26" s="27">
        <f>AA25+5%</f>
        <v>1.25</v>
      </c>
      <c r="AB26" s="27">
        <f>AB25</f>
        <v>0.85</v>
      </c>
      <c r="AG26" s="34">
        <f>AG25</f>
        <v>35</v>
      </c>
      <c r="AI26">
        <f>AI25</f>
        <v>4</v>
      </c>
      <c r="AK26">
        <f t="shared" ref="AK26:AK29" si="7">AK25+5</f>
        <v>50</v>
      </c>
      <c r="AO26">
        <f t="shared" ref="AO26:AO29" si="8">AO25+0.5</f>
        <v>4.5</v>
      </c>
      <c r="AZ26" s="24">
        <f>AZ25+1</f>
        <v>10</v>
      </c>
      <c r="BD26">
        <v>3</v>
      </c>
    </row>
    <row r="27" spans="1:59">
      <c r="A27" s="43" t="s">
        <v>514</v>
      </c>
      <c r="B27" s="43">
        <v>1950</v>
      </c>
      <c r="C27" s="43" t="s">
        <v>485</v>
      </c>
      <c r="D27" s="43">
        <v>60</v>
      </c>
      <c r="E27" s="43">
        <v>7</v>
      </c>
      <c r="F27" s="43">
        <v>10</v>
      </c>
      <c r="G27" s="43">
        <v>14</v>
      </c>
      <c r="H27" s="43">
        <v>35</v>
      </c>
      <c r="I27" s="43">
        <v>36</v>
      </c>
      <c r="J27" s="43">
        <v>18</v>
      </c>
      <c r="K27" s="43">
        <v>13</v>
      </c>
      <c r="M27" s="43" t="s">
        <v>513</v>
      </c>
      <c r="N27" s="43">
        <v>14</v>
      </c>
      <c r="S27" s="71"/>
      <c r="T27" s="71"/>
      <c r="U27">
        <v>1944</v>
      </c>
      <c r="V27" t="s">
        <v>334</v>
      </c>
      <c r="W27" t="s">
        <v>334</v>
      </c>
      <c r="X27" t="s">
        <v>334</v>
      </c>
      <c r="Y27" t="s">
        <v>335</v>
      </c>
      <c r="Z27" t="s">
        <v>336</v>
      </c>
      <c r="AA27" s="27">
        <f>AA26+5%</f>
        <v>1.3</v>
      </c>
      <c r="AB27" s="27">
        <f>AB26</f>
        <v>0.85</v>
      </c>
      <c r="AG27" s="34">
        <f>AG26</f>
        <v>35</v>
      </c>
      <c r="AI27">
        <f t="shared" ref="AI27:AI29" si="9">AI26</f>
        <v>4</v>
      </c>
      <c r="AK27">
        <f t="shared" si="7"/>
        <v>55</v>
      </c>
      <c r="AO27">
        <f t="shared" si="8"/>
        <v>5</v>
      </c>
      <c r="AZ27" s="24">
        <f t="shared" ref="AZ27:AZ29" si="10">AZ26+1</f>
        <v>11</v>
      </c>
      <c r="BD27">
        <v>3</v>
      </c>
    </row>
    <row r="28" spans="1:59">
      <c r="A28" s="43" t="s">
        <v>515</v>
      </c>
      <c r="B28" s="43">
        <v>1960</v>
      </c>
      <c r="C28" s="43" t="s">
        <v>485</v>
      </c>
      <c r="D28" s="43">
        <v>60</v>
      </c>
      <c r="E28" s="43">
        <v>7</v>
      </c>
      <c r="F28" s="43">
        <v>10</v>
      </c>
      <c r="G28" s="43">
        <v>14</v>
      </c>
      <c r="H28" s="43">
        <v>36</v>
      </c>
      <c r="I28" s="43">
        <v>44</v>
      </c>
      <c r="J28" s="43">
        <v>20</v>
      </c>
      <c r="K28" s="43">
        <v>14</v>
      </c>
      <c r="M28" s="43" t="s">
        <v>513</v>
      </c>
      <c r="N28" s="43">
        <v>17</v>
      </c>
      <c r="S28" s="71"/>
      <c r="T28" s="71"/>
      <c r="U28">
        <v>1950</v>
      </c>
      <c r="V28" t="s">
        <v>337</v>
      </c>
      <c r="W28" t="s">
        <v>337</v>
      </c>
      <c r="X28" t="s">
        <v>337</v>
      </c>
      <c r="Y28" t="s">
        <v>338</v>
      </c>
      <c r="Z28" t="s">
        <v>339</v>
      </c>
      <c r="AA28" s="27">
        <f>AA27+5%</f>
        <v>1.35</v>
      </c>
      <c r="AB28" s="27">
        <f>AB27</f>
        <v>0.85</v>
      </c>
      <c r="AG28" s="34">
        <f>AG27</f>
        <v>35</v>
      </c>
      <c r="AI28">
        <f t="shared" si="9"/>
        <v>4</v>
      </c>
      <c r="AK28">
        <f t="shared" si="7"/>
        <v>60</v>
      </c>
      <c r="AO28">
        <f t="shared" si="8"/>
        <v>5.5</v>
      </c>
      <c r="AZ28" s="24">
        <f t="shared" si="10"/>
        <v>12</v>
      </c>
      <c r="BD28">
        <v>4</v>
      </c>
    </row>
    <row r="29" spans="1:59">
      <c r="A29" s="43" t="s">
        <v>516</v>
      </c>
      <c r="B29" s="43">
        <v>1965</v>
      </c>
      <c r="C29" s="43" t="s">
        <v>485</v>
      </c>
      <c r="D29" s="43">
        <v>60</v>
      </c>
      <c r="E29" s="43">
        <v>8</v>
      </c>
      <c r="F29" s="43">
        <v>12</v>
      </c>
      <c r="G29" s="43">
        <v>16</v>
      </c>
      <c r="H29" s="43">
        <v>40</v>
      </c>
      <c r="I29" s="43">
        <v>48</v>
      </c>
      <c r="J29" s="43">
        <v>24</v>
      </c>
      <c r="K29" s="43">
        <v>14</v>
      </c>
      <c r="M29" s="43" t="s">
        <v>513</v>
      </c>
      <c r="N29" s="43">
        <v>19</v>
      </c>
      <c r="S29" s="71"/>
      <c r="T29" s="71"/>
      <c r="U29">
        <v>1955</v>
      </c>
      <c r="V29" t="s">
        <v>340</v>
      </c>
      <c r="W29" t="s">
        <v>340</v>
      </c>
      <c r="X29" t="s">
        <v>340</v>
      </c>
      <c r="Y29" t="s">
        <v>341</v>
      </c>
      <c r="Z29" t="s">
        <v>342</v>
      </c>
      <c r="AA29" s="27">
        <f>AA28+5%</f>
        <v>1.4000000000000001</v>
      </c>
      <c r="AB29" s="27">
        <f>AB28</f>
        <v>0.85</v>
      </c>
      <c r="AG29" s="34">
        <f>AG28</f>
        <v>35</v>
      </c>
      <c r="AI29">
        <f t="shared" si="9"/>
        <v>4</v>
      </c>
      <c r="AK29">
        <f t="shared" si="7"/>
        <v>65</v>
      </c>
      <c r="AO29">
        <f t="shared" si="8"/>
        <v>6</v>
      </c>
      <c r="AZ29" s="24">
        <f t="shared" si="10"/>
        <v>13</v>
      </c>
      <c r="BD29">
        <v>4</v>
      </c>
    </row>
    <row r="30" spans="1:59">
      <c r="A30" s="43" t="s">
        <v>517</v>
      </c>
      <c r="B30" s="43">
        <v>1975</v>
      </c>
      <c r="C30" s="43" t="s">
        <v>485</v>
      </c>
      <c r="D30" s="43">
        <v>60</v>
      </c>
      <c r="E30" s="43">
        <v>8</v>
      </c>
      <c r="F30" s="43">
        <v>12</v>
      </c>
      <c r="G30" s="43">
        <v>16</v>
      </c>
      <c r="H30" s="43">
        <v>40</v>
      </c>
      <c r="I30" s="43">
        <v>56</v>
      </c>
      <c r="J30" s="43">
        <v>26</v>
      </c>
      <c r="K30" s="43">
        <v>15</v>
      </c>
      <c r="M30" s="43" t="s">
        <v>513</v>
      </c>
      <c r="N30" s="43">
        <v>21</v>
      </c>
    </row>
    <row r="31" spans="1:59">
      <c r="A31" s="43" t="s">
        <v>518</v>
      </c>
      <c r="B31" s="43">
        <v>1985</v>
      </c>
      <c r="C31" s="43" t="s">
        <v>485</v>
      </c>
      <c r="D31" s="43">
        <v>60</v>
      </c>
      <c r="E31" s="43">
        <v>8</v>
      </c>
      <c r="F31" s="43">
        <v>12</v>
      </c>
      <c r="G31" s="43">
        <v>16</v>
      </c>
      <c r="H31" s="43">
        <v>41</v>
      </c>
      <c r="I31" s="43">
        <v>64</v>
      </c>
      <c r="J31" s="43">
        <v>30</v>
      </c>
      <c r="K31" s="43">
        <v>17</v>
      </c>
      <c r="M31" s="43" t="s">
        <v>513</v>
      </c>
      <c r="N31" s="43">
        <v>23</v>
      </c>
    </row>
    <row r="32" spans="1:59">
      <c r="A32" s="43" t="s">
        <v>519</v>
      </c>
      <c r="B32" s="43">
        <v>1995</v>
      </c>
      <c r="C32" s="43" t="s">
        <v>485</v>
      </c>
      <c r="D32" s="43">
        <v>60</v>
      </c>
      <c r="E32" s="43">
        <v>9</v>
      </c>
      <c r="F32" s="43">
        <v>14</v>
      </c>
      <c r="G32" s="43">
        <v>18</v>
      </c>
      <c r="H32" s="43">
        <v>45</v>
      </c>
      <c r="I32" s="43">
        <v>72</v>
      </c>
      <c r="J32" s="43">
        <v>32</v>
      </c>
      <c r="K32" s="43">
        <v>18</v>
      </c>
      <c r="M32" s="43" t="s">
        <v>513</v>
      </c>
      <c r="N32" s="43">
        <v>25</v>
      </c>
      <c r="S32" s="93" t="s">
        <v>471</v>
      </c>
      <c r="T32" s="93" t="s">
        <v>2</v>
      </c>
      <c r="U32" s="93" t="s">
        <v>3</v>
      </c>
      <c r="V32" s="93" t="s">
        <v>472</v>
      </c>
      <c r="W32" s="93" t="s">
        <v>473</v>
      </c>
      <c r="X32" s="93" t="s">
        <v>240</v>
      </c>
      <c r="Y32" s="93"/>
      <c r="Z32" s="93" t="s">
        <v>474</v>
      </c>
      <c r="AA32" s="94" t="s">
        <v>121</v>
      </c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5" t="s">
        <v>241</v>
      </c>
      <c r="BD32" s="95"/>
      <c r="BE32" s="95"/>
      <c r="BF32" s="95"/>
      <c r="BG32" s="95"/>
    </row>
    <row r="33" spans="1:59">
      <c r="A33" s="43" t="s">
        <v>520</v>
      </c>
      <c r="B33" s="43">
        <v>2005</v>
      </c>
      <c r="C33" s="43" t="s">
        <v>485</v>
      </c>
      <c r="D33" s="43">
        <v>60</v>
      </c>
      <c r="E33" s="43">
        <v>9</v>
      </c>
      <c r="F33" s="43">
        <v>14</v>
      </c>
      <c r="G33" s="43">
        <v>18</v>
      </c>
      <c r="H33" s="43">
        <v>45</v>
      </c>
      <c r="I33" s="43">
        <v>80</v>
      </c>
      <c r="J33" s="43">
        <v>34</v>
      </c>
      <c r="K33" s="43">
        <v>19</v>
      </c>
      <c r="M33" s="43" t="s">
        <v>513</v>
      </c>
      <c r="N33" s="43">
        <v>28</v>
      </c>
      <c r="S33" s="93"/>
      <c r="T33" s="93"/>
      <c r="U33" s="93"/>
      <c r="V33" s="93"/>
      <c r="W33" s="93"/>
      <c r="X33" s="68" t="s">
        <v>477</v>
      </c>
      <c r="Y33" s="68" t="s">
        <v>243</v>
      </c>
      <c r="Z33" s="93"/>
      <c r="AA33" s="46" t="s">
        <v>244</v>
      </c>
      <c r="AB33" s="46" t="s">
        <v>245</v>
      </c>
      <c r="AC33" s="46" t="s">
        <v>124</v>
      </c>
      <c r="AD33" s="46" t="s">
        <v>246</v>
      </c>
      <c r="AE33" s="46" t="s">
        <v>125</v>
      </c>
      <c r="AF33" s="46" t="s">
        <v>247</v>
      </c>
      <c r="AG33" s="46" t="s">
        <v>248</v>
      </c>
      <c r="AH33" s="46" t="s">
        <v>249</v>
      </c>
      <c r="AI33" s="46" t="s">
        <v>250</v>
      </c>
      <c r="AJ33" s="46" t="s">
        <v>251</v>
      </c>
      <c r="AK33" s="46" t="s">
        <v>8</v>
      </c>
      <c r="AL33" s="46" t="s">
        <v>253</v>
      </c>
      <c r="AM33" s="46" t="s">
        <v>126</v>
      </c>
      <c r="AN33" s="46" t="s">
        <v>478</v>
      </c>
      <c r="AO33" s="46" t="s">
        <v>127</v>
      </c>
      <c r="AP33" s="46" t="s">
        <v>252</v>
      </c>
      <c r="AQ33" s="46" t="s">
        <v>112</v>
      </c>
      <c r="AR33" s="46" t="s">
        <v>343</v>
      </c>
      <c r="AS33" s="53" t="s">
        <v>479</v>
      </c>
      <c r="AT33" s="46" t="s">
        <v>254</v>
      </c>
      <c r="AU33" s="46" t="s">
        <v>255</v>
      </c>
      <c r="AV33" s="46" t="s">
        <v>256</v>
      </c>
      <c r="AW33" s="46" t="s">
        <v>257</v>
      </c>
      <c r="AX33" s="46" t="s">
        <v>480</v>
      </c>
      <c r="AY33" s="46" t="s">
        <v>481</v>
      </c>
      <c r="AZ33" s="47" t="s">
        <v>9</v>
      </c>
      <c r="BA33" s="46" t="s">
        <v>258</v>
      </c>
      <c r="BB33" s="46" t="s">
        <v>259</v>
      </c>
      <c r="BC33" s="46" t="s">
        <v>260</v>
      </c>
      <c r="BD33" s="46" t="s">
        <v>261</v>
      </c>
      <c r="BE33" s="46" t="s">
        <v>262</v>
      </c>
      <c r="BF33" s="46" t="s">
        <v>263</v>
      </c>
      <c r="BG33" s="46" t="s">
        <v>264</v>
      </c>
    </row>
    <row r="34" spans="1:59">
      <c r="A34" s="43" t="s">
        <v>521</v>
      </c>
      <c r="B34" s="43">
        <v>1947</v>
      </c>
      <c r="C34" s="43" t="s">
        <v>485</v>
      </c>
      <c r="D34" s="43">
        <v>50</v>
      </c>
      <c r="E34" s="43">
        <v>0</v>
      </c>
      <c r="F34" s="43">
        <v>0</v>
      </c>
      <c r="G34" s="43">
        <v>6</v>
      </c>
      <c r="H34" s="43">
        <v>15</v>
      </c>
      <c r="I34" s="43">
        <v>15</v>
      </c>
      <c r="J34" s="43">
        <v>0</v>
      </c>
      <c r="K34" s="43">
        <v>13</v>
      </c>
      <c r="M34" s="43" t="s">
        <v>503</v>
      </c>
      <c r="N34" s="43">
        <v>8</v>
      </c>
      <c r="S34" s="85" t="s">
        <v>522</v>
      </c>
      <c r="T34" s="85" t="s">
        <v>523</v>
      </c>
      <c r="U34" s="15">
        <v>1939</v>
      </c>
      <c r="V34" s="15" t="s">
        <v>524</v>
      </c>
      <c r="W34" s="15" t="s">
        <v>525</v>
      </c>
      <c r="X34" s="15" t="s">
        <v>524</v>
      </c>
      <c r="Y34" s="15" t="s">
        <v>524</v>
      </c>
      <c r="Z34" s="15" t="s">
        <v>526</v>
      </c>
      <c r="AG34" s="15">
        <v>2</v>
      </c>
      <c r="AI34" s="15">
        <v>2</v>
      </c>
      <c r="AL34" s="15"/>
      <c r="AZ34" s="25"/>
      <c r="BB34">
        <v>5</v>
      </c>
      <c r="BD34">
        <v>2</v>
      </c>
    </row>
    <row r="35" spans="1:59">
      <c r="A35" s="43" t="s">
        <v>527</v>
      </c>
      <c r="B35" s="43">
        <v>1950</v>
      </c>
      <c r="C35" s="43" t="s">
        <v>485</v>
      </c>
      <c r="D35" s="43">
        <v>50</v>
      </c>
      <c r="E35" s="43">
        <v>0</v>
      </c>
      <c r="F35" s="43">
        <v>0</v>
      </c>
      <c r="G35" s="43">
        <v>7</v>
      </c>
      <c r="H35" s="43">
        <v>18</v>
      </c>
      <c r="I35" s="43">
        <v>18</v>
      </c>
      <c r="J35" s="43">
        <v>0</v>
      </c>
      <c r="K35" s="43">
        <v>14</v>
      </c>
      <c r="M35" s="43" t="s">
        <v>503</v>
      </c>
      <c r="N35" s="43">
        <v>9</v>
      </c>
      <c r="S35" s="71"/>
      <c r="T35" s="71"/>
      <c r="U35">
        <v>1939</v>
      </c>
      <c r="V35" t="s">
        <v>528</v>
      </c>
      <c r="W35" t="s">
        <v>525</v>
      </c>
      <c r="X35" t="s">
        <v>528</v>
      </c>
      <c r="Y35" t="s">
        <v>528</v>
      </c>
      <c r="Z35" t="s">
        <v>529</v>
      </c>
      <c r="AB35" s="27">
        <v>0.02</v>
      </c>
      <c r="AG35">
        <f>AG34-0.25</f>
        <v>1.75</v>
      </c>
      <c r="AI35">
        <f>AI34-0.25</f>
        <v>1.75</v>
      </c>
      <c r="AL35" s="27">
        <f>AL34-10%</f>
        <v>-0.1</v>
      </c>
      <c r="AZ35" s="24">
        <f>AZ34-1.5</f>
        <v>-1.5</v>
      </c>
      <c r="BA35" s="27">
        <v>-0.1</v>
      </c>
      <c r="BB35">
        <f>BB34+1</f>
        <v>6</v>
      </c>
      <c r="BD35">
        <v>2</v>
      </c>
    </row>
    <row r="36" spans="1:59">
      <c r="A36" s="43" t="s">
        <v>530</v>
      </c>
      <c r="B36" s="43">
        <v>1960</v>
      </c>
      <c r="C36" s="43" t="s">
        <v>485</v>
      </c>
      <c r="D36" s="43">
        <v>50</v>
      </c>
      <c r="E36" s="43">
        <v>0</v>
      </c>
      <c r="F36" s="43">
        <v>0</v>
      </c>
      <c r="G36" s="43">
        <v>7</v>
      </c>
      <c r="H36" s="43">
        <v>18</v>
      </c>
      <c r="I36" s="43">
        <v>22</v>
      </c>
      <c r="J36" s="43">
        <v>0</v>
      </c>
      <c r="K36" s="43">
        <v>15</v>
      </c>
      <c r="M36" s="43" t="s">
        <v>503</v>
      </c>
      <c r="N36" s="43">
        <v>10</v>
      </c>
      <c r="S36" s="71"/>
      <c r="T36" s="71"/>
      <c r="U36">
        <v>1955</v>
      </c>
      <c r="V36" t="s">
        <v>531</v>
      </c>
      <c r="W36" t="s">
        <v>532</v>
      </c>
      <c r="X36" t="s">
        <v>531</v>
      </c>
      <c r="Y36" t="s">
        <v>531</v>
      </c>
      <c r="Z36" t="s">
        <v>533</v>
      </c>
      <c r="AG36">
        <f>AG34+0.25</f>
        <v>2.25</v>
      </c>
      <c r="AI36">
        <f>AI34+0.25</f>
        <v>2.25</v>
      </c>
      <c r="AL36" s="27">
        <f>AL34+25%</f>
        <v>0.25</v>
      </c>
      <c r="AO36">
        <v>0.2</v>
      </c>
      <c r="AZ36" s="24">
        <f>AZ34+1.5</f>
        <v>1.5</v>
      </c>
      <c r="BB36">
        <f>BB34+0.5</f>
        <v>5.5</v>
      </c>
      <c r="BD36">
        <v>2</v>
      </c>
    </row>
    <row r="37" spans="1:59">
      <c r="A37" s="43" t="s">
        <v>534</v>
      </c>
      <c r="B37" s="43">
        <v>1965</v>
      </c>
      <c r="C37" s="43" t="s">
        <v>485</v>
      </c>
      <c r="D37" s="43">
        <v>50</v>
      </c>
      <c r="E37" s="43">
        <v>0</v>
      </c>
      <c r="F37" s="43">
        <v>0</v>
      </c>
      <c r="G37" s="43">
        <v>8</v>
      </c>
      <c r="H37" s="43">
        <v>20</v>
      </c>
      <c r="I37" s="43">
        <v>24</v>
      </c>
      <c r="J37" s="43">
        <v>0</v>
      </c>
      <c r="K37" s="43">
        <v>16</v>
      </c>
      <c r="M37" s="43" t="s">
        <v>503</v>
      </c>
      <c r="N37" s="43">
        <v>11</v>
      </c>
      <c r="S37" s="71"/>
      <c r="T37" s="71"/>
      <c r="U37">
        <v>1955</v>
      </c>
      <c r="V37" t="s">
        <v>532</v>
      </c>
      <c r="W37" t="s">
        <v>532</v>
      </c>
      <c r="X37" t="s">
        <v>535</v>
      </c>
      <c r="Y37" t="s">
        <v>535</v>
      </c>
      <c r="Z37" t="s">
        <v>536</v>
      </c>
      <c r="AA37" s="27">
        <v>-0.05</v>
      </c>
      <c r="AG37">
        <f>AG34+0.5</f>
        <v>2.5</v>
      </c>
      <c r="AI37">
        <f>AI34+0.5</f>
        <v>2.5</v>
      </c>
      <c r="AL37" s="27">
        <f>AL34+50%</f>
        <v>0.5</v>
      </c>
      <c r="AO37">
        <v>-0.4</v>
      </c>
      <c r="AZ37" s="24">
        <f>AZ36+0.5</f>
        <v>2</v>
      </c>
      <c r="BB37">
        <f>BB36+1</f>
        <v>6.5</v>
      </c>
      <c r="BD37">
        <v>1</v>
      </c>
      <c r="BE37">
        <v>1</v>
      </c>
    </row>
    <row r="38" spans="1:59">
      <c r="A38" s="43" t="s">
        <v>537</v>
      </c>
      <c r="B38" s="43">
        <v>1975</v>
      </c>
      <c r="C38" s="43" t="s">
        <v>485</v>
      </c>
      <c r="D38" s="43">
        <v>50</v>
      </c>
      <c r="E38" s="43">
        <v>0</v>
      </c>
      <c r="F38" s="43">
        <v>0</v>
      </c>
      <c r="G38" s="43">
        <v>8</v>
      </c>
      <c r="H38" s="43">
        <v>20</v>
      </c>
      <c r="I38" s="43">
        <v>28</v>
      </c>
      <c r="J38" s="43">
        <v>0</v>
      </c>
      <c r="K38" s="43">
        <v>18</v>
      </c>
      <c r="M38" s="43" t="s">
        <v>503</v>
      </c>
      <c r="N38" s="43">
        <v>13</v>
      </c>
      <c r="S38" s="71"/>
      <c r="T38" s="71"/>
      <c r="U38">
        <v>1965</v>
      </c>
      <c r="V38" t="s">
        <v>538</v>
      </c>
      <c r="W38" t="s">
        <v>538</v>
      </c>
      <c r="X38" t="s">
        <v>539</v>
      </c>
      <c r="Y38" t="s">
        <v>539</v>
      </c>
      <c r="Z38" t="s">
        <v>540</v>
      </c>
      <c r="AG38">
        <f>AG37+0.5</f>
        <v>3</v>
      </c>
      <c r="AI38">
        <f>AI37+0.5</f>
        <v>3</v>
      </c>
      <c r="AL38" s="27">
        <f>AL34+75%</f>
        <v>0.75</v>
      </c>
      <c r="AO38">
        <f>AO37</f>
        <v>-0.4</v>
      </c>
      <c r="AZ38" s="24">
        <f>AZ37+0.5</f>
        <v>2.5</v>
      </c>
      <c r="BB38">
        <f>BB37-0.5</f>
        <v>6</v>
      </c>
      <c r="BD38">
        <v>1</v>
      </c>
      <c r="BE38">
        <v>1</v>
      </c>
    </row>
    <row r="39" spans="1:59">
      <c r="A39" s="43" t="s">
        <v>541</v>
      </c>
      <c r="B39" s="43">
        <v>1985</v>
      </c>
      <c r="C39" s="43" t="s">
        <v>485</v>
      </c>
      <c r="D39" s="43">
        <v>50</v>
      </c>
      <c r="E39" s="43">
        <v>0</v>
      </c>
      <c r="F39" s="43">
        <v>0</v>
      </c>
      <c r="G39" s="43">
        <v>8</v>
      </c>
      <c r="H39" s="43">
        <v>20</v>
      </c>
      <c r="I39" s="43">
        <v>32</v>
      </c>
      <c r="J39" s="43">
        <v>0</v>
      </c>
      <c r="K39" s="43">
        <v>19</v>
      </c>
      <c r="M39" s="43" t="s">
        <v>503</v>
      </c>
      <c r="N39" s="43">
        <v>14</v>
      </c>
      <c r="S39" s="71"/>
      <c r="T39" s="71"/>
      <c r="U39">
        <v>1975</v>
      </c>
      <c r="V39" t="s">
        <v>542</v>
      </c>
      <c r="W39" t="s">
        <v>542</v>
      </c>
      <c r="X39" t="s">
        <v>542</v>
      </c>
      <c r="Y39" t="s">
        <v>543</v>
      </c>
      <c r="Z39" t="s">
        <v>544</v>
      </c>
      <c r="AG39">
        <f>AG38+0.5</f>
        <v>3.5</v>
      </c>
      <c r="AI39">
        <f>AI38+0.5</f>
        <v>3.5</v>
      </c>
      <c r="AL39" s="27">
        <f>AL34+100%</f>
        <v>1</v>
      </c>
      <c r="AO39">
        <f>AO38-0.2</f>
        <v>-0.60000000000000009</v>
      </c>
      <c r="AZ39" s="24">
        <f>AZ38+0.5</f>
        <v>3</v>
      </c>
      <c r="BB39">
        <f>BB38-0.5</f>
        <v>5.5</v>
      </c>
      <c r="BD39">
        <v>2</v>
      </c>
      <c r="BE39">
        <v>1</v>
      </c>
    </row>
    <row r="40" spans="1:59">
      <c r="A40" s="43" t="s">
        <v>545</v>
      </c>
      <c r="B40" s="43">
        <v>1995</v>
      </c>
      <c r="C40" s="43" t="s">
        <v>485</v>
      </c>
      <c r="D40" s="43">
        <v>50</v>
      </c>
      <c r="E40" s="43">
        <v>0</v>
      </c>
      <c r="F40" s="43">
        <v>0</v>
      </c>
      <c r="G40" s="43">
        <v>9</v>
      </c>
      <c r="H40" s="43">
        <v>23</v>
      </c>
      <c r="I40" s="43">
        <v>36</v>
      </c>
      <c r="J40" s="43">
        <v>0</v>
      </c>
      <c r="K40" s="43">
        <v>20</v>
      </c>
      <c r="M40" s="43" t="s">
        <v>503</v>
      </c>
      <c r="N40" s="43">
        <v>15</v>
      </c>
      <c r="S40" s="71"/>
      <c r="T40" s="71"/>
      <c r="U40">
        <v>1985</v>
      </c>
      <c r="V40" t="s">
        <v>546</v>
      </c>
      <c r="W40" t="s">
        <v>546</v>
      </c>
      <c r="X40" t="s">
        <v>546</v>
      </c>
      <c r="Y40" t="s">
        <v>547</v>
      </c>
      <c r="Z40" t="s">
        <v>548</v>
      </c>
      <c r="AG40">
        <f>AG39+0.5</f>
        <v>4</v>
      </c>
      <c r="AI40">
        <f>AI39+0.5</f>
        <v>4</v>
      </c>
      <c r="AL40" s="27">
        <f>AL39+25%</f>
        <v>1.25</v>
      </c>
      <c r="AO40">
        <f>AO39-0.2</f>
        <v>-0.8</v>
      </c>
      <c r="AZ40" s="24">
        <f>AZ39+0.5</f>
        <v>3.5</v>
      </c>
      <c r="BB40">
        <f>BB39-0.5</f>
        <v>5</v>
      </c>
      <c r="BD40">
        <v>3</v>
      </c>
      <c r="BE40">
        <v>1</v>
      </c>
    </row>
    <row r="41" spans="1:59">
      <c r="A41" s="43" t="s">
        <v>549</v>
      </c>
      <c r="B41" s="43">
        <v>2005</v>
      </c>
      <c r="C41" s="43" t="s">
        <v>485</v>
      </c>
      <c r="D41" s="43">
        <v>50</v>
      </c>
      <c r="E41" s="43">
        <v>0</v>
      </c>
      <c r="F41" s="43">
        <v>0</v>
      </c>
      <c r="G41" s="43">
        <v>9</v>
      </c>
      <c r="H41" s="43">
        <v>23</v>
      </c>
      <c r="I41" s="43">
        <v>40</v>
      </c>
      <c r="J41" s="43">
        <v>0</v>
      </c>
      <c r="K41" s="43">
        <v>22</v>
      </c>
      <c r="M41" s="43" t="s">
        <v>503</v>
      </c>
      <c r="N41" s="43">
        <v>17</v>
      </c>
      <c r="S41" s="71"/>
      <c r="T41" s="71"/>
      <c r="U41">
        <v>1995</v>
      </c>
      <c r="V41" t="s">
        <v>550</v>
      </c>
      <c r="W41" t="s">
        <v>550</v>
      </c>
      <c r="X41" t="s">
        <v>550</v>
      </c>
      <c r="Y41" t="s">
        <v>551</v>
      </c>
      <c r="Z41" t="s">
        <v>552</v>
      </c>
      <c r="AG41">
        <f>AG40+0.5</f>
        <v>4.5</v>
      </c>
      <c r="AI41">
        <f>AI40+0.5</f>
        <v>4.5</v>
      </c>
      <c r="AL41" s="27">
        <f>AL40+25%</f>
        <v>1.5</v>
      </c>
      <c r="AO41">
        <f>AO40-0.2</f>
        <v>-1</v>
      </c>
      <c r="AZ41" s="24">
        <f>AZ40+0.5</f>
        <v>4</v>
      </c>
      <c r="BB41">
        <f>BB40-0.5</f>
        <v>4.5</v>
      </c>
      <c r="BD41">
        <v>3</v>
      </c>
      <c r="BE41">
        <v>1</v>
      </c>
    </row>
    <row r="42" spans="1:59">
      <c r="S42" s="71"/>
      <c r="T42" s="71"/>
      <c r="U42">
        <v>2010</v>
      </c>
      <c r="V42" t="s">
        <v>553</v>
      </c>
      <c r="W42" t="s">
        <v>553</v>
      </c>
      <c r="X42" t="s">
        <v>553</v>
      </c>
      <c r="Y42" t="s">
        <v>554</v>
      </c>
      <c r="Z42" t="s">
        <v>555</v>
      </c>
      <c r="AG42">
        <f>AG41+0.5</f>
        <v>5</v>
      </c>
      <c r="AI42">
        <f>AI41+0.5</f>
        <v>5</v>
      </c>
      <c r="AL42" s="27">
        <f>AL41+25%</f>
        <v>1.75</v>
      </c>
      <c r="AO42">
        <f>AO41-0.2</f>
        <v>-1.2</v>
      </c>
      <c r="AZ42" s="24">
        <f>AZ41+0.5</f>
        <v>4.5</v>
      </c>
      <c r="BB42">
        <f>BB41-0.5</f>
        <v>4</v>
      </c>
      <c r="BD42">
        <v>3</v>
      </c>
      <c r="BE42">
        <v>1</v>
      </c>
    </row>
    <row r="43" spans="1:59">
      <c r="S43" s="71"/>
      <c r="T43" s="71"/>
      <c r="U43">
        <v>1985</v>
      </c>
      <c r="V43" t="s">
        <v>556</v>
      </c>
      <c r="W43" t="s">
        <v>556</v>
      </c>
      <c r="X43" t="s">
        <v>556</v>
      </c>
      <c r="Y43" t="s">
        <v>557</v>
      </c>
      <c r="Z43" t="s">
        <v>558</v>
      </c>
      <c r="AG43">
        <f>AG38+0.75</f>
        <v>3.75</v>
      </c>
      <c r="AI43">
        <f>AI38+0.75</f>
        <v>3.75</v>
      </c>
      <c r="AL43" s="27">
        <f>AL34+135%</f>
        <v>1.35</v>
      </c>
      <c r="AO43">
        <f>AO39-0.3</f>
        <v>-0.90000000000000013</v>
      </c>
      <c r="AZ43" s="24">
        <f>AZ39+0.75</f>
        <v>3.75</v>
      </c>
      <c r="BB43">
        <f>BB39</f>
        <v>5.5</v>
      </c>
      <c r="BD43">
        <v>3</v>
      </c>
      <c r="BE43">
        <v>1</v>
      </c>
    </row>
    <row r="44" spans="1:59">
      <c r="S44" s="71"/>
      <c r="T44" s="71"/>
      <c r="U44">
        <v>1995</v>
      </c>
      <c r="V44" t="s">
        <v>559</v>
      </c>
      <c r="W44" t="s">
        <v>559</v>
      </c>
      <c r="X44" t="s">
        <v>559</v>
      </c>
      <c r="Y44" t="s">
        <v>560</v>
      </c>
      <c r="Z44" t="s">
        <v>561</v>
      </c>
      <c r="AG44">
        <f>AG43+0.75</f>
        <v>4.5</v>
      </c>
      <c r="AI44">
        <f>AI43+0.75</f>
        <v>4.5</v>
      </c>
      <c r="AL44" s="27">
        <f>AL43+25%</f>
        <v>1.6</v>
      </c>
      <c r="AO44">
        <f>AO43-0.3</f>
        <v>-1.2000000000000002</v>
      </c>
      <c r="AZ44" s="24">
        <f>AZ43+0.75</f>
        <v>4.5</v>
      </c>
      <c r="BB44">
        <f>BB40</f>
        <v>5</v>
      </c>
      <c r="BD44">
        <v>3</v>
      </c>
      <c r="BE44">
        <v>1</v>
      </c>
    </row>
    <row r="45" spans="1:59">
      <c r="S45" s="71"/>
      <c r="T45" s="71"/>
      <c r="U45">
        <v>2010</v>
      </c>
      <c r="V45" t="s">
        <v>562</v>
      </c>
      <c r="W45" t="s">
        <v>562</v>
      </c>
      <c r="X45" t="s">
        <v>562</v>
      </c>
      <c r="Y45" t="s">
        <v>563</v>
      </c>
      <c r="Z45" t="s">
        <v>564</v>
      </c>
      <c r="AG45">
        <f>AG44+0.75</f>
        <v>5.25</v>
      </c>
      <c r="AI45">
        <f>AI44+0.75</f>
        <v>5.25</v>
      </c>
      <c r="AL45" s="27">
        <f>AL44+25%</f>
        <v>1.85</v>
      </c>
      <c r="AO45">
        <f>AO44-0.3</f>
        <v>-1.5000000000000002</v>
      </c>
      <c r="AZ45" s="24">
        <f>AZ44+0.75</f>
        <v>5.25</v>
      </c>
      <c r="BB45">
        <f>BB41</f>
        <v>4.5</v>
      </c>
      <c r="BD45">
        <v>3</v>
      </c>
      <c r="BE45">
        <v>1</v>
      </c>
    </row>
    <row r="46" spans="1:59">
      <c r="S46" s="71"/>
      <c r="T46" s="71"/>
      <c r="U46">
        <v>1955</v>
      </c>
      <c r="V46" t="s">
        <v>565</v>
      </c>
      <c r="W46" t="s">
        <v>565</v>
      </c>
      <c r="X46" t="s">
        <v>565</v>
      </c>
      <c r="Y46" t="s">
        <v>566</v>
      </c>
      <c r="Z46" t="s">
        <v>567</v>
      </c>
      <c r="AA46" s="27">
        <v>0.1</v>
      </c>
      <c r="AB46" s="38">
        <v>2.5000000000000001E-2</v>
      </c>
      <c r="AG46">
        <f>AG34-0.5</f>
        <v>1.5</v>
      </c>
      <c r="AI46">
        <f>AI34-0.5</f>
        <v>1.5</v>
      </c>
      <c r="AL46" s="27">
        <f>AL34-15%</f>
        <v>-0.15</v>
      </c>
      <c r="AO46">
        <v>2</v>
      </c>
      <c r="AZ46" s="24">
        <f>AZ34+1</f>
        <v>1</v>
      </c>
      <c r="BB46">
        <f>BB34-3</f>
        <v>2</v>
      </c>
      <c r="BE46">
        <v>2</v>
      </c>
    </row>
    <row r="47" spans="1:59">
      <c r="S47" s="71"/>
      <c r="T47" s="71"/>
      <c r="U47">
        <v>1965</v>
      </c>
      <c r="V47" t="s">
        <v>568</v>
      </c>
      <c r="W47" t="s">
        <v>568</v>
      </c>
      <c r="X47" t="s">
        <v>568</v>
      </c>
      <c r="Y47" t="s">
        <v>569</v>
      </c>
      <c r="Z47" t="s">
        <v>570</v>
      </c>
      <c r="AA47" s="27">
        <v>0.1</v>
      </c>
      <c r="AB47" s="37">
        <f>AB46+2.5%</f>
        <v>0.05</v>
      </c>
      <c r="AG47">
        <f>AG46+0.25</f>
        <v>1.75</v>
      </c>
      <c r="AI47">
        <f>AI46+0.25</f>
        <v>1.75</v>
      </c>
      <c r="AL47" s="27">
        <f>AL46+5%</f>
        <v>-9.9999999999999992E-2</v>
      </c>
      <c r="AO47">
        <v>1.5</v>
      </c>
      <c r="AZ47" s="24">
        <f>AZ46+0.5</f>
        <v>1.5</v>
      </c>
      <c r="BB47">
        <f>BB46+0.5</f>
        <v>2.5</v>
      </c>
      <c r="BE47">
        <v>2</v>
      </c>
    </row>
    <row r="48" spans="1:59">
      <c r="C48" t="s">
        <v>245</v>
      </c>
      <c r="D48" t="s">
        <v>8</v>
      </c>
      <c r="S48" s="71"/>
    </row>
    <row r="49" spans="2:57">
      <c r="B49" t="s">
        <v>65</v>
      </c>
      <c r="C49" s="27">
        <v>-0.4</v>
      </c>
      <c r="D49" s="27">
        <v>-0.4</v>
      </c>
      <c r="E49" s="27">
        <v>-0.2</v>
      </c>
      <c r="F49" s="27">
        <v>-0.2</v>
      </c>
      <c r="S49" s="71"/>
      <c r="T49" s="96" t="s">
        <v>571</v>
      </c>
      <c r="U49" s="15">
        <v>1965</v>
      </c>
      <c r="V49" s="15" t="s">
        <v>572</v>
      </c>
      <c r="W49" t="s">
        <v>538</v>
      </c>
      <c r="Y49" s="15" t="s">
        <v>572</v>
      </c>
      <c r="Z49" s="15" t="s">
        <v>573</v>
      </c>
      <c r="AG49" s="15">
        <v>1</v>
      </c>
      <c r="AI49" s="15">
        <v>1</v>
      </c>
      <c r="AL49" s="26">
        <v>0.2</v>
      </c>
      <c r="AO49" s="15">
        <v>-0.2</v>
      </c>
      <c r="AZ49" s="25">
        <v>1.5</v>
      </c>
      <c r="BB49" s="15">
        <v>0.1</v>
      </c>
      <c r="BD49">
        <v>1</v>
      </c>
    </row>
    <row r="50" spans="2:57">
      <c r="B50" t="s">
        <v>68</v>
      </c>
      <c r="C50" s="27">
        <v>-0.2</v>
      </c>
      <c r="D50" s="27">
        <v>-0.2</v>
      </c>
      <c r="E50" s="27">
        <v>-0.1</v>
      </c>
      <c r="F50" s="27">
        <v>-0.1</v>
      </c>
      <c r="S50" s="71"/>
      <c r="T50" s="96"/>
      <c r="U50">
        <v>1975</v>
      </c>
      <c r="V50" t="s">
        <v>574</v>
      </c>
      <c r="W50" t="s">
        <v>542</v>
      </c>
      <c r="Y50" t="s">
        <v>575</v>
      </c>
      <c r="Z50" t="s">
        <v>576</v>
      </c>
      <c r="AG50">
        <f t="shared" ref="AG50:AG53" si="11">AG49+0.5</f>
        <v>1.5</v>
      </c>
      <c r="AI50">
        <f t="shared" ref="AI50:AI53" si="12">AI49+0.5</f>
        <v>1.5</v>
      </c>
      <c r="AL50" s="27">
        <f>AL49+10%</f>
        <v>0.30000000000000004</v>
      </c>
      <c r="AO50">
        <f>AO49-0.1</f>
        <v>-0.30000000000000004</v>
      </c>
      <c r="AZ50" s="24">
        <f>AZ49+0.25</f>
        <v>1.75</v>
      </c>
      <c r="BB50">
        <f>BB49</f>
        <v>0.1</v>
      </c>
      <c r="BD50">
        <v>1</v>
      </c>
    </row>
    <row r="51" spans="2:57">
      <c r="B51" t="s">
        <v>83</v>
      </c>
      <c r="C51" s="27">
        <v>-0.4</v>
      </c>
      <c r="D51" s="27">
        <v>-0.4</v>
      </c>
      <c r="S51" s="71"/>
      <c r="T51" s="96"/>
      <c r="U51">
        <v>1985</v>
      </c>
      <c r="V51" t="s">
        <v>577</v>
      </c>
      <c r="W51" t="s">
        <v>546</v>
      </c>
      <c r="Y51" t="s">
        <v>578</v>
      </c>
      <c r="Z51" t="s">
        <v>579</v>
      </c>
      <c r="AG51">
        <f t="shared" si="11"/>
        <v>2</v>
      </c>
      <c r="AI51">
        <f t="shared" si="12"/>
        <v>2</v>
      </c>
      <c r="AL51" s="27">
        <f>AL50+10%</f>
        <v>0.4</v>
      </c>
      <c r="AO51">
        <f>AO50-0.1</f>
        <v>-0.4</v>
      </c>
      <c r="AZ51" s="24">
        <f>AZ50+0.25</f>
        <v>2</v>
      </c>
      <c r="BB51">
        <f>BB50</f>
        <v>0.1</v>
      </c>
      <c r="BD51">
        <v>1</v>
      </c>
    </row>
    <row r="52" spans="2:57">
      <c r="S52" s="71"/>
      <c r="T52" s="96"/>
      <c r="U52">
        <v>1995</v>
      </c>
      <c r="V52" t="s">
        <v>580</v>
      </c>
      <c r="W52" t="s">
        <v>550</v>
      </c>
      <c r="Y52" t="s">
        <v>581</v>
      </c>
      <c r="Z52" t="s">
        <v>582</v>
      </c>
      <c r="AG52">
        <f t="shared" si="11"/>
        <v>2.5</v>
      </c>
      <c r="AI52">
        <f t="shared" si="12"/>
        <v>2.5</v>
      </c>
      <c r="AL52" s="27">
        <f>AL51+10%</f>
        <v>0.5</v>
      </c>
      <c r="AO52">
        <f>AO51-0.1</f>
        <v>-0.5</v>
      </c>
      <c r="AZ52" s="24">
        <f>AZ51+0.25</f>
        <v>2.25</v>
      </c>
      <c r="BB52">
        <f>BB51</f>
        <v>0.1</v>
      </c>
      <c r="BD52">
        <v>1</v>
      </c>
    </row>
    <row r="53" spans="2:57">
      <c r="S53" s="71"/>
      <c r="T53" s="96"/>
      <c r="U53">
        <v>2010</v>
      </c>
      <c r="V53" t="s">
        <v>583</v>
      </c>
      <c r="W53" t="s">
        <v>553</v>
      </c>
      <c r="Y53" t="s">
        <v>584</v>
      </c>
      <c r="Z53" t="s">
        <v>585</v>
      </c>
      <c r="AG53">
        <f t="shared" si="11"/>
        <v>3</v>
      </c>
      <c r="AI53">
        <f t="shared" si="12"/>
        <v>3</v>
      </c>
      <c r="AL53" s="27">
        <f>AL52+10%</f>
        <v>0.6</v>
      </c>
      <c r="AO53">
        <f>AO52-0.1</f>
        <v>-0.6</v>
      </c>
      <c r="AZ53" s="24">
        <f>AZ52+0.25</f>
        <v>2.5</v>
      </c>
      <c r="BB53">
        <f>BB52</f>
        <v>0.1</v>
      </c>
      <c r="BD53">
        <v>1</v>
      </c>
    </row>
    <row r="54" spans="2:57">
      <c r="S54" s="71"/>
      <c r="T54" s="96"/>
      <c r="U54" s="15">
        <v>1995</v>
      </c>
      <c r="V54" s="15" t="s">
        <v>586</v>
      </c>
      <c r="W54" s="15" t="s">
        <v>586</v>
      </c>
      <c r="Y54" s="15" t="s">
        <v>587</v>
      </c>
      <c r="Z54" s="15" t="s">
        <v>588</v>
      </c>
      <c r="AB54" s="26">
        <v>0.05</v>
      </c>
      <c r="AG54" s="15">
        <v>0.5</v>
      </c>
      <c r="AI54" s="15">
        <v>0.5</v>
      </c>
      <c r="AK54">
        <v>20</v>
      </c>
      <c r="AL54" s="26">
        <v>0.25</v>
      </c>
      <c r="AO54" s="15">
        <v>-0.2</v>
      </c>
      <c r="AZ54" s="25">
        <v>1.25</v>
      </c>
      <c r="BB54" s="15">
        <v>0.1</v>
      </c>
      <c r="BE54">
        <v>1</v>
      </c>
    </row>
    <row r="55" spans="2:57">
      <c r="S55" s="71"/>
      <c r="T55" s="96"/>
      <c r="U55">
        <v>2005</v>
      </c>
      <c r="V55" t="s">
        <v>589</v>
      </c>
      <c r="W55" t="s">
        <v>589</v>
      </c>
      <c r="Y55" t="s">
        <v>590</v>
      </c>
      <c r="Z55" t="s">
        <v>591</v>
      </c>
      <c r="AB55" s="28">
        <f>AB54+2.5%</f>
        <v>7.5000000000000011E-2</v>
      </c>
      <c r="AG55">
        <f>AG54+0.5</f>
        <v>1</v>
      </c>
      <c r="AI55">
        <f>AI54+0.5</f>
        <v>1</v>
      </c>
      <c r="AK55">
        <v>30</v>
      </c>
      <c r="AL55" s="27">
        <f>AL54+5%</f>
        <v>0.3</v>
      </c>
      <c r="AO55">
        <f>AO54-0.05</f>
        <v>-0.25</v>
      </c>
      <c r="AZ55" s="24">
        <f>AZ54+0.5</f>
        <v>1.75</v>
      </c>
      <c r="BB55">
        <f>BB54</f>
        <v>0.1</v>
      </c>
      <c r="BE55">
        <v>1</v>
      </c>
    </row>
    <row r="56" spans="2:57">
      <c r="S56" s="71"/>
    </row>
    <row r="57" spans="2:57">
      <c r="S57" s="71"/>
      <c r="T57" s="71" t="s">
        <v>592</v>
      </c>
      <c r="U57" s="15">
        <v>1975</v>
      </c>
      <c r="V57" s="15" t="s">
        <v>593</v>
      </c>
      <c r="W57" s="15" t="s">
        <v>593</v>
      </c>
      <c r="Y57" s="15" t="s">
        <v>594</v>
      </c>
      <c r="Z57" s="15" t="s">
        <v>595</v>
      </c>
      <c r="AG57" s="15">
        <v>3</v>
      </c>
      <c r="AH57" s="15"/>
      <c r="AI57" s="15">
        <v>1.5</v>
      </c>
      <c r="AL57" s="26">
        <v>0.05</v>
      </c>
      <c r="AO57" s="15">
        <v>-0.1</v>
      </c>
      <c r="AZ57" s="25">
        <v>1</v>
      </c>
      <c r="BA57" s="15"/>
      <c r="BB57" s="15">
        <v>0.05</v>
      </c>
    </row>
    <row r="58" spans="2:57">
      <c r="S58" s="71"/>
      <c r="T58" s="71"/>
      <c r="U58">
        <v>1985</v>
      </c>
      <c r="V58" t="s">
        <v>596</v>
      </c>
      <c r="W58" t="s">
        <v>596</v>
      </c>
      <c r="Y58" t="s">
        <v>597</v>
      </c>
      <c r="Z58" t="s">
        <v>598</v>
      </c>
      <c r="AG58">
        <f>AG57+3</f>
        <v>6</v>
      </c>
      <c r="AI58">
        <f>AI57+1.5</f>
        <v>3</v>
      </c>
      <c r="AL58" s="27">
        <f>AL57+10%</f>
        <v>0.15000000000000002</v>
      </c>
      <c r="AO58">
        <f>AO57-0.1</f>
        <v>-0.2</v>
      </c>
      <c r="AZ58" s="24">
        <f>AZ57+0.75</f>
        <v>1.75</v>
      </c>
      <c r="BB58">
        <f>BB57</f>
        <v>0.05</v>
      </c>
    </row>
    <row r="59" spans="2:57">
      <c r="S59" s="71"/>
      <c r="T59" s="71"/>
      <c r="U59">
        <v>1985</v>
      </c>
      <c r="V59" t="s">
        <v>599</v>
      </c>
      <c r="W59" t="s">
        <v>596</v>
      </c>
      <c r="Y59" t="s">
        <v>600</v>
      </c>
      <c r="Z59" t="s">
        <v>601</v>
      </c>
      <c r="AG59">
        <f>AG58+1</f>
        <v>7</v>
      </c>
      <c r="AI59">
        <f>AI58+0.5</f>
        <v>3.5</v>
      </c>
      <c r="AL59" s="27">
        <f>AL58+5%</f>
        <v>0.2</v>
      </c>
      <c r="AO59">
        <f>AO57-0.3</f>
        <v>-0.4</v>
      </c>
      <c r="AZ59" s="24">
        <f>AZ58-0.25</f>
        <v>1.5</v>
      </c>
      <c r="BB59">
        <f>BB58</f>
        <v>0.05</v>
      </c>
    </row>
    <row r="60" spans="2:57">
      <c r="S60" s="71"/>
      <c r="T60" s="71"/>
      <c r="U60">
        <v>2005</v>
      </c>
      <c r="V60" t="s">
        <v>602</v>
      </c>
      <c r="W60" t="s">
        <v>602</v>
      </c>
      <c r="Y60" t="s">
        <v>603</v>
      </c>
      <c r="Z60" t="s">
        <v>604</v>
      </c>
      <c r="AG60">
        <f>AG58+3</f>
        <v>9</v>
      </c>
      <c r="AI60">
        <f>AI58+1.5</f>
        <v>4.5</v>
      </c>
      <c r="AL60" s="27">
        <f>AL58+10%</f>
        <v>0.25</v>
      </c>
      <c r="AO60">
        <f>AO58-0.1</f>
        <v>-0.30000000000000004</v>
      </c>
      <c r="AZ60" s="24">
        <f>AZ58+0.75</f>
        <v>2.5</v>
      </c>
      <c r="BB60">
        <f>BB59</f>
        <v>0.05</v>
      </c>
    </row>
    <row r="61" spans="2:57">
      <c r="S61" s="71"/>
      <c r="T61" s="71"/>
      <c r="U61">
        <v>2015</v>
      </c>
      <c r="V61" t="s">
        <v>605</v>
      </c>
      <c r="W61" t="s">
        <v>605</v>
      </c>
      <c r="Y61" t="s">
        <v>606</v>
      </c>
      <c r="Z61" t="s">
        <v>607</v>
      </c>
      <c r="AG61">
        <f>AG60+3</f>
        <v>12</v>
      </c>
      <c r="AI61">
        <f>AI60+1.5</f>
        <v>6</v>
      </c>
      <c r="AL61" s="27">
        <f>AL60+10%</f>
        <v>0.35</v>
      </c>
      <c r="AO61">
        <f>AO60-0.1</f>
        <v>-0.4</v>
      </c>
      <c r="AZ61" s="24">
        <f>AZ60+0.75</f>
        <v>3.25</v>
      </c>
      <c r="BB61">
        <f>BB60</f>
        <v>0.05</v>
      </c>
    </row>
    <row r="62" spans="2:57">
      <c r="S62" s="71"/>
    </row>
    <row r="63" spans="2:57">
      <c r="S63" s="71"/>
      <c r="T63" s="71" t="s">
        <v>608</v>
      </c>
      <c r="U63" s="15">
        <v>1939</v>
      </c>
      <c r="V63" s="15" t="s">
        <v>609</v>
      </c>
      <c r="W63" s="15" t="s">
        <v>609</v>
      </c>
      <c r="Y63" s="15" t="s">
        <v>610</v>
      </c>
      <c r="Z63" s="15" t="s">
        <v>611</v>
      </c>
      <c r="AG63" s="15">
        <v>1.5</v>
      </c>
      <c r="AI63" s="15">
        <v>2.5</v>
      </c>
      <c r="AZ63" s="25">
        <v>0.5</v>
      </c>
      <c r="BA63" s="15"/>
      <c r="BB63" s="15">
        <v>0.05</v>
      </c>
    </row>
    <row r="64" spans="2:57">
      <c r="S64" s="71"/>
      <c r="T64" s="71"/>
      <c r="U64">
        <v>1944</v>
      </c>
      <c r="V64" t="s">
        <v>612</v>
      </c>
      <c r="W64" t="s">
        <v>612</v>
      </c>
      <c r="Y64" t="s">
        <v>613</v>
      </c>
      <c r="Z64" t="s">
        <v>614</v>
      </c>
      <c r="AG64">
        <f>AG63+3.5</f>
        <v>5</v>
      </c>
      <c r="AV64">
        <v>0.25</v>
      </c>
      <c r="AZ64" s="24">
        <f>AZ63+0.5</f>
        <v>1</v>
      </c>
      <c r="BB64">
        <f>BB63+0.15</f>
        <v>0.2</v>
      </c>
    </row>
    <row r="65" spans="19:58">
      <c r="S65" s="71"/>
      <c r="T65" s="71"/>
      <c r="U65">
        <v>1975</v>
      </c>
      <c r="V65" t="s">
        <v>615</v>
      </c>
      <c r="W65" t="s">
        <v>615</v>
      </c>
      <c r="Y65" t="s">
        <v>616</v>
      </c>
      <c r="Z65" t="s">
        <v>617</v>
      </c>
      <c r="AG65">
        <f>AG63+2</f>
        <v>3.5</v>
      </c>
      <c r="AI65">
        <f>AI63+2.5</f>
        <v>5</v>
      </c>
      <c r="AZ65" s="24">
        <f>AZ63+0.75</f>
        <v>1.25</v>
      </c>
      <c r="BB65">
        <f>BB63</f>
        <v>0.05</v>
      </c>
    </row>
    <row r="66" spans="19:58">
      <c r="S66" s="71"/>
      <c r="T66" s="71"/>
      <c r="U66">
        <v>1985</v>
      </c>
      <c r="V66" t="s">
        <v>618</v>
      </c>
      <c r="W66" t="s">
        <v>618</v>
      </c>
      <c r="Y66" t="s">
        <v>619</v>
      </c>
      <c r="Z66" t="s">
        <v>620</v>
      </c>
      <c r="AG66">
        <f>AG65+2</f>
        <v>5.5</v>
      </c>
      <c r="AI66">
        <f>AI65+3</f>
        <v>8</v>
      </c>
      <c r="AZ66" s="24">
        <f>AZ65+0.5</f>
        <v>1.75</v>
      </c>
      <c r="BB66">
        <f>BB65</f>
        <v>0.05</v>
      </c>
    </row>
    <row r="67" spans="19:58">
      <c r="S67" s="71"/>
      <c r="T67" s="71"/>
      <c r="U67">
        <v>1995</v>
      </c>
      <c r="V67" t="s">
        <v>621</v>
      </c>
      <c r="W67" t="s">
        <v>621</v>
      </c>
      <c r="Y67" t="s">
        <v>622</v>
      </c>
      <c r="Z67" t="s">
        <v>623</v>
      </c>
      <c r="AG67">
        <f>AG66+2</f>
        <v>7.5</v>
      </c>
      <c r="AI67">
        <f>AI66+3</f>
        <v>11</v>
      </c>
      <c r="AZ67" s="24">
        <f>AZ66+0.5</f>
        <v>2.25</v>
      </c>
      <c r="BB67">
        <f>BB66</f>
        <v>0.05</v>
      </c>
    </row>
    <row r="68" spans="19:58">
      <c r="S68" s="71"/>
      <c r="T68" s="71"/>
      <c r="U68">
        <v>2015</v>
      </c>
      <c r="V68" t="s">
        <v>624</v>
      </c>
      <c r="W68" t="s">
        <v>624</v>
      </c>
      <c r="Y68" t="s">
        <v>625</v>
      </c>
      <c r="Z68" t="s">
        <v>626</v>
      </c>
      <c r="AG68">
        <f>AG67+2</f>
        <v>9.5</v>
      </c>
      <c r="AI68">
        <f>AI67+3</f>
        <v>14</v>
      </c>
      <c r="AZ68" s="24">
        <f>AZ67+0.5</f>
        <v>2.75</v>
      </c>
      <c r="BB68">
        <f>BB67</f>
        <v>0.05</v>
      </c>
    </row>
    <row r="69" spans="19:58">
      <c r="S69" s="71"/>
    </row>
    <row r="70" spans="19:58">
      <c r="S70" s="71"/>
      <c r="T70" s="71" t="s">
        <v>627</v>
      </c>
      <c r="U70" s="15">
        <v>1980</v>
      </c>
      <c r="V70" s="15" t="s">
        <v>628</v>
      </c>
      <c r="W70" s="15" t="s">
        <v>628</v>
      </c>
      <c r="Y70" s="15" t="s">
        <v>629</v>
      </c>
      <c r="Z70" s="15" t="s">
        <v>630</v>
      </c>
      <c r="AA70" s="26">
        <v>-0.04</v>
      </c>
      <c r="AG70" s="15">
        <v>6</v>
      </c>
      <c r="AH70" s="15"/>
      <c r="AI70" s="15">
        <v>3</v>
      </c>
      <c r="AJ70" s="15"/>
      <c r="AV70" s="15">
        <v>0.15</v>
      </c>
      <c r="AZ70" s="25">
        <v>5</v>
      </c>
      <c r="BA70" s="15"/>
      <c r="BB70" s="15">
        <v>0.2</v>
      </c>
      <c r="BF70">
        <v>1</v>
      </c>
    </row>
    <row r="71" spans="19:58">
      <c r="S71" s="71"/>
      <c r="T71" s="71"/>
      <c r="U71">
        <v>1990</v>
      </c>
      <c r="V71" t="s">
        <v>631</v>
      </c>
      <c r="W71" t="s">
        <v>631</v>
      </c>
      <c r="Y71" t="s">
        <v>632</v>
      </c>
      <c r="Z71" t="s">
        <v>633</v>
      </c>
      <c r="AA71" s="28">
        <f>AA70+0.5%</f>
        <v>-3.5000000000000003E-2</v>
      </c>
      <c r="AG71">
        <f>AG70+3.5</f>
        <v>9.5</v>
      </c>
      <c r="AI71">
        <f>AI70+1.75</f>
        <v>4.75</v>
      </c>
      <c r="AV71">
        <f>AV70+0.1</f>
        <v>0.25</v>
      </c>
      <c r="AZ71" s="24">
        <f>AZ70+0.5</f>
        <v>5.5</v>
      </c>
      <c r="BB71">
        <f>BB70+0.05</f>
        <v>0.25</v>
      </c>
      <c r="BF71">
        <v>1</v>
      </c>
    </row>
    <row r="72" spans="19:58">
      <c r="S72" s="71"/>
      <c r="T72" s="71"/>
      <c r="U72">
        <v>2005</v>
      </c>
      <c r="V72" t="s">
        <v>634</v>
      </c>
      <c r="W72" t="s">
        <v>634</v>
      </c>
      <c r="Y72" t="s">
        <v>635</v>
      </c>
      <c r="Z72" t="s">
        <v>636</v>
      </c>
      <c r="AA72" s="27">
        <f>AA71+0.5%</f>
        <v>-3.0000000000000002E-2</v>
      </c>
      <c r="AG72">
        <f>AG71+3.5</f>
        <v>13</v>
      </c>
      <c r="AI72">
        <f>AI71+1.75</f>
        <v>6.5</v>
      </c>
      <c r="AV72">
        <f>AV71+0.1</f>
        <v>0.35</v>
      </c>
      <c r="AZ72" s="24">
        <f>AZ71+0.5</f>
        <v>6</v>
      </c>
      <c r="BB72">
        <f>BB71+0.05</f>
        <v>0.3</v>
      </c>
      <c r="BF72">
        <v>2</v>
      </c>
    </row>
    <row r="73" spans="19:58">
      <c r="S73" s="71"/>
      <c r="T73" s="71"/>
      <c r="U73">
        <v>2015</v>
      </c>
      <c r="V73" t="s">
        <v>637</v>
      </c>
      <c r="W73" t="s">
        <v>637</v>
      </c>
      <c r="Y73" t="s">
        <v>638</v>
      </c>
      <c r="Z73" t="s">
        <v>639</v>
      </c>
      <c r="AA73" s="28">
        <f>AA72+0.5%</f>
        <v>-2.5000000000000001E-2</v>
      </c>
      <c r="AG73">
        <f>AG72+3.5</f>
        <v>16.5</v>
      </c>
      <c r="AI73">
        <f>AI72+1.75</f>
        <v>8.25</v>
      </c>
      <c r="AV73">
        <f>AV72+0.1</f>
        <v>0.44999999999999996</v>
      </c>
      <c r="AZ73" s="24">
        <f>AZ72+0.5</f>
        <v>6.5</v>
      </c>
      <c r="BB73">
        <f>BB72+0.05</f>
        <v>0.35</v>
      </c>
      <c r="BF73">
        <v>2</v>
      </c>
    </row>
    <row r="74" spans="19:58">
      <c r="S74" s="71"/>
      <c r="T74" s="71"/>
      <c r="U74" s="15">
        <v>1990</v>
      </c>
      <c r="V74" s="15" t="s">
        <v>640</v>
      </c>
      <c r="W74" s="15" t="s">
        <v>640</v>
      </c>
      <c r="Y74" s="15" t="s">
        <v>641</v>
      </c>
      <c r="Z74" s="15" t="s">
        <v>642</v>
      </c>
      <c r="AA74" s="15"/>
      <c r="AG74" s="15">
        <v>2</v>
      </c>
      <c r="AH74" s="26">
        <v>0.05</v>
      </c>
      <c r="AI74" s="15">
        <v>4</v>
      </c>
      <c r="AJ74" s="26">
        <v>0.05</v>
      </c>
      <c r="AV74" s="15">
        <v>0.15</v>
      </c>
      <c r="AZ74" s="25">
        <v>1.5</v>
      </c>
      <c r="BA74" s="15"/>
      <c r="BB74" s="15">
        <v>0.1</v>
      </c>
      <c r="BF74">
        <v>1</v>
      </c>
    </row>
    <row r="75" spans="19:58">
      <c r="S75" s="71"/>
      <c r="T75" s="71"/>
      <c r="U75">
        <v>2010</v>
      </c>
      <c r="V75" t="s">
        <v>643</v>
      </c>
      <c r="W75" t="s">
        <v>643</v>
      </c>
      <c r="Y75" t="s">
        <v>644</v>
      </c>
      <c r="Z75" t="s">
        <v>645</v>
      </c>
      <c r="AG75">
        <f>AG74+2</f>
        <v>4</v>
      </c>
      <c r="AH75" s="27">
        <f>AH74+5%</f>
        <v>0.1</v>
      </c>
      <c r="AI75">
        <f>AI74+4</f>
        <v>8</v>
      </c>
      <c r="AJ75" s="27">
        <f>AJ74+5%</f>
        <v>0.1</v>
      </c>
      <c r="AV75">
        <f>AV74+0.2</f>
        <v>0.35</v>
      </c>
      <c r="AZ75" s="24">
        <f>AZ74+1.5</f>
        <v>3</v>
      </c>
      <c r="BB75">
        <f>BB74+0.1</f>
        <v>0.2</v>
      </c>
      <c r="BF75">
        <v>2</v>
      </c>
    </row>
    <row r="76" spans="19:58">
      <c r="S76" s="71"/>
    </row>
    <row r="77" spans="19:58">
      <c r="S77" s="71"/>
      <c r="T77" s="71" t="s">
        <v>646</v>
      </c>
      <c r="U77" s="15">
        <v>1942</v>
      </c>
      <c r="V77" s="15" t="s">
        <v>647</v>
      </c>
      <c r="W77" s="15" t="s">
        <v>647</v>
      </c>
      <c r="Y77" s="15" t="s">
        <v>648</v>
      </c>
      <c r="Z77" s="15" t="s">
        <v>649</v>
      </c>
      <c r="AA77" s="26">
        <v>0.05</v>
      </c>
      <c r="AZ77" s="25">
        <v>1</v>
      </c>
      <c r="BA77" s="15"/>
      <c r="BB77" s="15">
        <v>0.1</v>
      </c>
    </row>
    <row r="78" spans="19:58">
      <c r="S78" s="71"/>
      <c r="T78" s="71"/>
      <c r="U78">
        <v>1950</v>
      </c>
      <c r="V78" t="s">
        <v>650</v>
      </c>
      <c r="W78" t="s">
        <v>650</v>
      </c>
      <c r="Y78" t="s">
        <v>651</v>
      </c>
      <c r="Z78" t="s">
        <v>652</v>
      </c>
      <c r="AA78" s="28">
        <f>AA77+2.5%</f>
        <v>7.5000000000000011E-2</v>
      </c>
      <c r="AZ78" s="24">
        <f>AZ77+0.5</f>
        <v>1.5</v>
      </c>
      <c r="BB78">
        <f>BB77+0.05</f>
        <v>0.15000000000000002</v>
      </c>
    </row>
    <row r="79" spans="19:58">
      <c r="S79" s="71"/>
      <c r="T79" s="71"/>
      <c r="U79">
        <v>1975</v>
      </c>
      <c r="V79" t="s">
        <v>653</v>
      </c>
      <c r="W79" t="s">
        <v>653</v>
      </c>
      <c r="Y79" t="s">
        <v>654</v>
      </c>
      <c r="Z79" t="s">
        <v>655</v>
      </c>
      <c r="AA79" s="27">
        <f>AA78+2.5%</f>
        <v>0.1</v>
      </c>
      <c r="AZ79" s="24">
        <f>AZ78+0.5</f>
        <v>2</v>
      </c>
      <c r="BB79">
        <f>BB78+0.05</f>
        <v>0.2</v>
      </c>
    </row>
    <row r="82" spans="19:61">
      <c r="S82" s="93" t="s">
        <v>471</v>
      </c>
      <c r="T82" s="93" t="s">
        <v>2</v>
      </c>
      <c r="U82" s="93" t="s">
        <v>3</v>
      </c>
      <c r="V82" s="93" t="s">
        <v>472</v>
      </c>
      <c r="W82" s="93" t="s">
        <v>473</v>
      </c>
      <c r="X82" s="93" t="s">
        <v>240</v>
      </c>
      <c r="Y82" s="93"/>
      <c r="Z82" s="93" t="s">
        <v>474</v>
      </c>
      <c r="AA82" s="94" t="s">
        <v>121</v>
      </c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4"/>
      <c r="AW82" s="94"/>
      <c r="AX82" s="94"/>
      <c r="AY82" s="94"/>
      <c r="AZ82" s="94"/>
      <c r="BA82" s="94"/>
      <c r="BB82" s="94"/>
      <c r="BC82" s="95" t="s">
        <v>241</v>
      </c>
      <c r="BD82" s="95"/>
      <c r="BE82" s="95"/>
      <c r="BF82" s="95"/>
      <c r="BG82" s="95"/>
    </row>
    <row r="83" spans="19:61">
      <c r="S83" s="93"/>
      <c r="T83" s="93"/>
      <c r="U83" s="93"/>
      <c r="V83" s="93"/>
      <c r="W83" s="93"/>
      <c r="X83" s="68" t="s">
        <v>477</v>
      </c>
      <c r="Y83" s="68" t="s">
        <v>243</v>
      </c>
      <c r="Z83" s="93"/>
      <c r="AA83" s="46" t="s">
        <v>244</v>
      </c>
      <c r="AB83" s="46" t="s">
        <v>245</v>
      </c>
      <c r="AC83" s="46" t="s">
        <v>124</v>
      </c>
      <c r="AD83" s="46" t="s">
        <v>246</v>
      </c>
      <c r="AE83" s="46" t="s">
        <v>125</v>
      </c>
      <c r="AF83" s="46" t="s">
        <v>247</v>
      </c>
      <c r="AG83" s="46" t="s">
        <v>248</v>
      </c>
      <c r="AH83" s="46" t="s">
        <v>249</v>
      </c>
      <c r="AI83" s="46" t="s">
        <v>250</v>
      </c>
      <c r="AJ83" s="46" t="s">
        <v>251</v>
      </c>
      <c r="AK83" s="46" t="s">
        <v>8</v>
      </c>
      <c r="AL83" s="46" t="s">
        <v>253</v>
      </c>
      <c r="AM83" s="46" t="s">
        <v>126</v>
      </c>
      <c r="AN83" s="46" t="s">
        <v>478</v>
      </c>
      <c r="AO83" s="46" t="s">
        <v>127</v>
      </c>
      <c r="AP83" s="46" t="s">
        <v>252</v>
      </c>
      <c r="AQ83" s="46" t="s">
        <v>112</v>
      </c>
      <c r="AR83" s="46" t="s">
        <v>343</v>
      </c>
      <c r="AS83" s="53" t="s">
        <v>479</v>
      </c>
      <c r="AT83" s="46" t="s">
        <v>254</v>
      </c>
      <c r="AU83" s="46" t="s">
        <v>255</v>
      </c>
      <c r="AV83" s="46" t="s">
        <v>256</v>
      </c>
      <c r="AW83" s="46" t="s">
        <v>257</v>
      </c>
      <c r="AX83" s="46" t="s">
        <v>480</v>
      </c>
      <c r="AY83" s="46" t="s">
        <v>481</v>
      </c>
      <c r="AZ83" s="47" t="s">
        <v>9</v>
      </c>
      <c r="BA83" s="46" t="s">
        <v>258</v>
      </c>
      <c r="BB83" s="46" t="s">
        <v>259</v>
      </c>
      <c r="BC83" s="46" t="s">
        <v>260</v>
      </c>
      <c r="BD83" s="46" t="s">
        <v>261</v>
      </c>
      <c r="BE83" s="46" t="s">
        <v>262</v>
      </c>
      <c r="BF83" s="46" t="s">
        <v>263</v>
      </c>
      <c r="BG83" s="46" t="s">
        <v>264</v>
      </c>
    </row>
    <row r="84" spans="19:61">
      <c r="S84" s="88" t="s">
        <v>656</v>
      </c>
      <c r="T84" s="85" t="s">
        <v>344</v>
      </c>
      <c r="U84" s="15">
        <v>1942</v>
      </c>
      <c r="V84" s="15" t="s">
        <v>346</v>
      </c>
      <c r="W84" s="15" t="s">
        <v>346</v>
      </c>
      <c r="Y84" s="15" t="s">
        <v>346</v>
      </c>
      <c r="Z84" s="15" t="s">
        <v>347</v>
      </c>
      <c r="AA84" s="26">
        <v>-0.02</v>
      </c>
      <c r="AD84" s="39">
        <v>2.5000000000000001E-2</v>
      </c>
      <c r="AE84" s="15"/>
      <c r="AF84" s="39">
        <v>2.5000000000000001E-2</v>
      </c>
      <c r="AG84" s="15">
        <v>3</v>
      </c>
      <c r="AH84" s="15"/>
      <c r="AI84" s="15">
        <v>1</v>
      </c>
      <c r="AL84" s="15"/>
      <c r="AO84" s="15"/>
      <c r="AU84" s="26">
        <v>0.02</v>
      </c>
      <c r="AV84" s="15"/>
      <c r="AZ84" s="25">
        <v>1</v>
      </c>
      <c r="BB84" s="15">
        <v>0.1</v>
      </c>
    </row>
    <row r="85" spans="19:61">
      <c r="S85" s="89"/>
      <c r="T85" s="71"/>
      <c r="U85">
        <v>1944</v>
      </c>
      <c r="V85" t="s">
        <v>348</v>
      </c>
      <c r="W85" t="s">
        <v>348</v>
      </c>
      <c r="Y85" t="s">
        <v>349</v>
      </c>
      <c r="Z85" t="s">
        <v>350</v>
      </c>
      <c r="AA85" s="27">
        <f>AA84*2</f>
        <v>-0.04</v>
      </c>
      <c r="AD85" s="27">
        <f>AD84*2</f>
        <v>0.05</v>
      </c>
      <c r="AF85" s="27">
        <f>AF84*2</f>
        <v>0.05</v>
      </c>
      <c r="AG85">
        <f>AG84+2</f>
        <v>5</v>
      </c>
      <c r="AI85">
        <f>AI84*2</f>
        <v>2</v>
      </c>
      <c r="AU85" s="27">
        <f>AU84+2%</f>
        <v>0.04</v>
      </c>
      <c r="AV85">
        <f>AV84+0.1</f>
        <v>0.1</v>
      </c>
      <c r="AZ85" s="24">
        <f>AZ84*2</f>
        <v>2</v>
      </c>
      <c r="BB85">
        <f>BB84*4</f>
        <v>0.4</v>
      </c>
    </row>
    <row r="86" spans="19:61">
      <c r="S86" s="89"/>
      <c r="T86" s="71"/>
      <c r="U86" s="15">
        <v>1950</v>
      </c>
      <c r="V86" s="21" t="s">
        <v>352</v>
      </c>
      <c r="W86" s="51" t="s">
        <v>352</v>
      </c>
      <c r="Y86" s="15" t="s">
        <v>353</v>
      </c>
      <c r="Z86" s="21" t="s">
        <v>354</v>
      </c>
      <c r="AA86" s="26">
        <v>-0.06</v>
      </c>
      <c r="AD86" s="26">
        <v>0.1</v>
      </c>
      <c r="AE86" s="15"/>
      <c r="AF86" s="26">
        <v>0.1</v>
      </c>
      <c r="AG86" s="15">
        <v>4</v>
      </c>
      <c r="AH86" s="15"/>
      <c r="AI86" s="15">
        <v>4</v>
      </c>
      <c r="AL86" s="26">
        <v>-0.05</v>
      </c>
      <c r="AO86" s="15">
        <v>0.25</v>
      </c>
      <c r="AU86" s="26">
        <v>0.06</v>
      </c>
      <c r="AV86" s="15"/>
      <c r="AZ86" s="25">
        <v>3</v>
      </c>
      <c r="BA86" s="15"/>
      <c r="BB86" s="15">
        <v>0.6</v>
      </c>
      <c r="BC86" s="15"/>
      <c r="BD86" s="15"/>
      <c r="BE86" s="15"/>
      <c r="BF86" s="15"/>
    </row>
    <row r="87" spans="19:61">
      <c r="S87" s="89"/>
      <c r="T87" s="71"/>
      <c r="U87" s="1">
        <v>1995</v>
      </c>
      <c r="V87" s="19" t="s">
        <v>355</v>
      </c>
      <c r="W87" s="52" t="s">
        <v>355</v>
      </c>
      <c r="Y87" t="s">
        <v>356</v>
      </c>
      <c r="Z87" s="19" t="s">
        <v>357</v>
      </c>
      <c r="AA87" s="27">
        <f>AA86-10%</f>
        <v>-0.16</v>
      </c>
      <c r="AD87" s="28">
        <f>AD86+7.5%</f>
        <v>0.17499999999999999</v>
      </c>
      <c r="AF87" s="28">
        <f>AF86+7.5%</f>
        <v>0.17499999999999999</v>
      </c>
      <c r="AG87">
        <f>AG86+6</f>
        <v>10</v>
      </c>
      <c r="AI87">
        <f>AI86+6</f>
        <v>10</v>
      </c>
      <c r="AL87" s="27">
        <v>0.1</v>
      </c>
      <c r="AO87">
        <f>AO86+0.25</f>
        <v>0.5</v>
      </c>
      <c r="AU87" s="27">
        <f>AU86+4%</f>
        <v>0.1</v>
      </c>
      <c r="AV87">
        <f>AV86+0.5</f>
        <v>0.5</v>
      </c>
      <c r="AZ87" s="24">
        <f>AZ86+3.5</f>
        <v>6.5</v>
      </c>
      <c r="BB87">
        <f>BB86+0.2</f>
        <v>0.8</v>
      </c>
      <c r="BF87">
        <v>1</v>
      </c>
    </row>
    <row r="88" spans="19:61">
      <c r="S88" s="89"/>
      <c r="T88" s="71"/>
      <c r="U88" s="15">
        <v>1960</v>
      </c>
      <c r="V88" s="29" t="s">
        <v>359</v>
      </c>
      <c r="W88" s="51" t="s">
        <v>359</v>
      </c>
      <c r="Y88" s="15" t="s">
        <v>360</v>
      </c>
      <c r="Z88" s="29" t="s">
        <v>361</v>
      </c>
      <c r="AA88" s="26">
        <v>-0.2</v>
      </c>
      <c r="AD88" s="26">
        <v>0.1</v>
      </c>
      <c r="AE88" s="15"/>
      <c r="AF88" s="26">
        <v>0.1</v>
      </c>
      <c r="AG88" s="15">
        <v>10</v>
      </c>
      <c r="AH88" s="15"/>
      <c r="AI88" s="15">
        <v>-5</v>
      </c>
      <c r="AL88" s="26">
        <v>0.3</v>
      </c>
      <c r="AO88" s="15">
        <v>1</v>
      </c>
      <c r="AU88" s="26">
        <v>0.08</v>
      </c>
      <c r="AV88" s="15">
        <v>0.2</v>
      </c>
      <c r="AZ88" s="25">
        <v>4</v>
      </c>
      <c r="BB88" s="15">
        <v>1.5</v>
      </c>
    </row>
    <row r="89" spans="19:61">
      <c r="S89" s="89"/>
      <c r="T89" s="71"/>
      <c r="U89">
        <v>1970</v>
      </c>
      <c r="V89" s="8" t="s">
        <v>362</v>
      </c>
      <c r="W89" s="52" t="s">
        <v>362</v>
      </c>
      <c r="Y89" t="s">
        <v>363</v>
      </c>
      <c r="Z89" s="8" t="s">
        <v>364</v>
      </c>
      <c r="AA89" s="28">
        <f>AA88+2.5%</f>
        <v>-0.17500000000000002</v>
      </c>
      <c r="AD89" s="28">
        <f>AD88-2.5%</f>
        <v>7.5000000000000011E-2</v>
      </c>
      <c r="AF89" s="28">
        <f>AF88-2.5%</f>
        <v>7.5000000000000011E-2</v>
      </c>
      <c r="AG89">
        <f>AG88+2</f>
        <v>12</v>
      </c>
      <c r="AI89">
        <f>AI88+2</f>
        <v>-3</v>
      </c>
      <c r="AL89" s="27">
        <f>AL88</f>
        <v>0.3</v>
      </c>
      <c r="AO89">
        <f>AO88</f>
        <v>1</v>
      </c>
      <c r="AU89" s="32">
        <f>AU88</f>
        <v>0.08</v>
      </c>
      <c r="AV89">
        <f>AV88+0.2</f>
        <v>0.4</v>
      </c>
      <c r="AZ89" s="24">
        <f>AZ88+0.65</f>
        <v>4.6500000000000004</v>
      </c>
      <c r="BB89">
        <f>BB88</f>
        <v>1.5</v>
      </c>
      <c r="BF89">
        <v>1</v>
      </c>
    </row>
    <row r="90" spans="19:61">
      <c r="S90" s="89"/>
      <c r="T90" s="71"/>
      <c r="U90">
        <v>1990</v>
      </c>
      <c r="V90" s="8" t="s">
        <v>365</v>
      </c>
      <c r="W90" s="52" t="s">
        <v>365</v>
      </c>
      <c r="Y90" t="s">
        <v>366</v>
      </c>
      <c r="Z90" s="8" t="s">
        <v>367</v>
      </c>
      <c r="AA90" s="27">
        <f>AA89+2.5%</f>
        <v>-0.15000000000000002</v>
      </c>
      <c r="AD90" s="28">
        <f>AD88+2.5%</f>
        <v>0.125</v>
      </c>
      <c r="AF90" s="28">
        <f>AF88+2.5%</f>
        <v>0.125</v>
      </c>
      <c r="AG90">
        <f>AG89+2</f>
        <v>14</v>
      </c>
      <c r="AI90">
        <f>AI89+2</f>
        <v>-1</v>
      </c>
      <c r="AL90" s="27">
        <f>AL89</f>
        <v>0.3</v>
      </c>
      <c r="AO90">
        <f>AO89</f>
        <v>1</v>
      </c>
      <c r="AU90" s="32">
        <f>AU89</f>
        <v>0.08</v>
      </c>
      <c r="AV90">
        <f>AV89+0.2</f>
        <v>0.60000000000000009</v>
      </c>
      <c r="AZ90" s="24">
        <f t="shared" ref="AZ90:AZ91" si="13">AZ89+0.65</f>
        <v>5.3000000000000007</v>
      </c>
      <c r="BB90">
        <f>BB89</f>
        <v>1.5</v>
      </c>
      <c r="BF90">
        <v>1</v>
      </c>
    </row>
    <row r="91" spans="19:61">
      <c r="S91" s="89"/>
      <c r="T91" s="71"/>
      <c r="U91">
        <v>2010</v>
      </c>
      <c r="V91" s="8" t="s">
        <v>368</v>
      </c>
      <c r="W91" s="52" t="s">
        <v>368</v>
      </c>
      <c r="Y91" t="s">
        <v>369</v>
      </c>
      <c r="Z91" s="8" t="s">
        <v>370</v>
      </c>
      <c r="AA91" s="28">
        <f>AA90+2.5%</f>
        <v>-0.12500000000000003</v>
      </c>
      <c r="AD91" s="27">
        <f>AD90+2.5%</f>
        <v>0.15</v>
      </c>
      <c r="AF91" s="27">
        <f>AF90+2.5%</f>
        <v>0.15</v>
      </c>
      <c r="AG91">
        <f>AG90+2</f>
        <v>16</v>
      </c>
      <c r="AI91">
        <f>AI90+2</f>
        <v>1</v>
      </c>
      <c r="AL91" s="27">
        <f>AL90</f>
        <v>0.3</v>
      </c>
      <c r="AO91">
        <f>AO90</f>
        <v>1</v>
      </c>
      <c r="AU91" s="32">
        <f>AU90</f>
        <v>0.08</v>
      </c>
      <c r="AV91">
        <f>AV90+0.2</f>
        <v>0.8</v>
      </c>
      <c r="AZ91" s="24">
        <f t="shared" si="13"/>
        <v>5.9500000000000011</v>
      </c>
      <c r="BB91">
        <f>BB90</f>
        <v>1.5</v>
      </c>
      <c r="BF91">
        <v>1</v>
      </c>
    </row>
    <row r="92" spans="19:61">
      <c r="S92" s="89"/>
      <c r="T92" s="71"/>
      <c r="U92" s="15">
        <v>1965</v>
      </c>
      <c r="V92" s="31" t="s">
        <v>372</v>
      </c>
      <c r="W92" s="51" t="s">
        <v>372</v>
      </c>
      <c r="Y92" s="15" t="s">
        <v>373</v>
      </c>
      <c r="Z92" s="31" t="s">
        <v>374</v>
      </c>
      <c r="AA92" s="26">
        <v>-0.15</v>
      </c>
      <c r="AD92" s="39">
        <v>0.125</v>
      </c>
      <c r="AE92" s="15"/>
      <c r="AF92" s="39">
        <v>0.125</v>
      </c>
      <c r="AG92" s="15">
        <v>11</v>
      </c>
      <c r="AH92" s="15"/>
      <c r="AI92" s="15">
        <v>-4</v>
      </c>
      <c r="AL92" s="26">
        <v>0.15</v>
      </c>
      <c r="AO92" s="15">
        <v>0.5</v>
      </c>
      <c r="AU92" s="26">
        <v>0.12</v>
      </c>
      <c r="AV92" s="15">
        <v>0.35</v>
      </c>
      <c r="AZ92" s="25">
        <v>4.5</v>
      </c>
      <c r="BA92" s="15"/>
      <c r="BB92" s="15">
        <v>1.2</v>
      </c>
      <c r="BC92" s="15"/>
      <c r="BF92">
        <v>1</v>
      </c>
    </row>
    <row r="93" spans="19:61">
      <c r="S93" s="89"/>
      <c r="T93" s="71"/>
      <c r="U93">
        <v>1985</v>
      </c>
      <c r="V93" s="20" t="s">
        <v>375</v>
      </c>
      <c r="W93" s="52" t="s">
        <v>375</v>
      </c>
      <c r="Y93" t="s">
        <v>376</v>
      </c>
      <c r="Z93" s="35" t="s">
        <v>377</v>
      </c>
      <c r="AA93" s="28">
        <f>AA92+2.5%</f>
        <v>-0.125</v>
      </c>
      <c r="AD93" s="27">
        <f>AD92+2.5%</f>
        <v>0.15</v>
      </c>
      <c r="AF93" s="27">
        <f>AF92+2.5%</f>
        <v>0.15</v>
      </c>
      <c r="AG93">
        <f>AG92+3</f>
        <v>14</v>
      </c>
      <c r="AI93">
        <f>AI92+3</f>
        <v>-1</v>
      </c>
      <c r="AL93" s="27">
        <f>AL92</f>
        <v>0.15</v>
      </c>
      <c r="AO93">
        <f>AO92</f>
        <v>0.5</v>
      </c>
      <c r="AU93" s="32">
        <f>AU92</f>
        <v>0.12</v>
      </c>
      <c r="AV93">
        <f>AV92+0.3</f>
        <v>0.64999999999999991</v>
      </c>
      <c r="AZ93" s="24">
        <f>AZ92+0.65</f>
        <v>5.15</v>
      </c>
      <c r="BB93">
        <f>BB92</f>
        <v>1.2</v>
      </c>
      <c r="BF93">
        <v>1</v>
      </c>
    </row>
    <row r="94" spans="19:61">
      <c r="S94" s="89"/>
      <c r="T94" s="71"/>
      <c r="U94">
        <v>2005</v>
      </c>
      <c r="V94" s="20" t="s">
        <v>378</v>
      </c>
      <c r="W94" s="52" t="s">
        <v>378</v>
      </c>
      <c r="Y94" t="s">
        <v>379</v>
      </c>
      <c r="Z94" s="35" t="s">
        <v>380</v>
      </c>
      <c r="AA94" s="27">
        <f>AA93+2.5%</f>
        <v>-0.1</v>
      </c>
      <c r="AD94" s="28">
        <f>AD93+2.5%</f>
        <v>0.17499999999999999</v>
      </c>
      <c r="AF94" s="28">
        <f>AF93+2.5%</f>
        <v>0.17499999999999999</v>
      </c>
      <c r="AG94">
        <f>AG93+3</f>
        <v>17</v>
      </c>
      <c r="AI94">
        <f>AI93+3</f>
        <v>2</v>
      </c>
      <c r="AL94" s="27">
        <f>AL93</f>
        <v>0.15</v>
      </c>
      <c r="AO94">
        <f>AO93</f>
        <v>0.5</v>
      </c>
      <c r="AU94" s="32">
        <f>AU93</f>
        <v>0.12</v>
      </c>
      <c r="AV94">
        <f>AV93+0.3</f>
        <v>0.95</v>
      </c>
      <c r="AZ94" s="24">
        <f>AZ93+0.65</f>
        <v>5.8000000000000007</v>
      </c>
      <c r="BB94">
        <f>BB93</f>
        <v>1.2</v>
      </c>
      <c r="BF94">
        <v>1</v>
      </c>
    </row>
    <row r="95" spans="19:61">
      <c r="S95" s="89"/>
    </row>
    <row r="96" spans="19:61">
      <c r="S96" s="89"/>
      <c r="T96" s="71" t="s">
        <v>657</v>
      </c>
      <c r="U96" s="15">
        <v>1965</v>
      </c>
      <c r="V96" s="15" t="s">
        <v>658</v>
      </c>
      <c r="W96" s="51" t="s">
        <v>372</v>
      </c>
      <c r="X96" s="15"/>
      <c r="Y96" s="15" t="s">
        <v>659</v>
      </c>
      <c r="Z96" s="15" t="s">
        <v>660</v>
      </c>
      <c r="AA96" s="26">
        <v>-0.1</v>
      </c>
      <c r="AB96" s="15"/>
      <c r="AC96" s="15"/>
      <c r="AD96" s="39">
        <v>7.4999999999999997E-2</v>
      </c>
      <c r="AE96" s="15"/>
      <c r="AF96" s="39">
        <v>7.4999999999999997E-2</v>
      </c>
      <c r="AG96" s="15">
        <v>6</v>
      </c>
      <c r="AH96" s="15"/>
      <c r="AI96" s="15">
        <v>3</v>
      </c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26">
        <v>0.1</v>
      </c>
      <c r="AV96" s="15">
        <v>0.15</v>
      </c>
      <c r="AW96" s="15"/>
      <c r="AX96" s="15"/>
      <c r="AY96" s="15"/>
      <c r="AZ96" s="25">
        <v>2.5</v>
      </c>
      <c r="BA96" s="15"/>
      <c r="BB96" s="15">
        <v>0.9</v>
      </c>
      <c r="BC96" s="15"/>
      <c r="BD96" s="15"/>
      <c r="BE96" s="15"/>
      <c r="BG96" s="15"/>
      <c r="BH96" s="15"/>
      <c r="BI96" s="15"/>
    </row>
    <row r="97" spans="19:62">
      <c r="S97" s="89"/>
      <c r="T97" s="71"/>
      <c r="U97">
        <v>1985</v>
      </c>
      <c r="V97" t="s">
        <v>661</v>
      </c>
      <c r="W97" s="52" t="s">
        <v>375</v>
      </c>
      <c r="Y97" t="s">
        <v>662</v>
      </c>
      <c r="Z97" t="s">
        <v>663</v>
      </c>
      <c r="AA97" s="28">
        <f>AA96+2.5%</f>
        <v>-7.5000000000000011E-2</v>
      </c>
      <c r="AD97" s="27">
        <f>AD96+2.5%</f>
        <v>0.1</v>
      </c>
      <c r="AF97" s="27">
        <f>AF96+2.5%</f>
        <v>0.1</v>
      </c>
      <c r="AG97">
        <f>AG96+3</f>
        <v>9</v>
      </c>
      <c r="AI97">
        <f>AI96+1.5</f>
        <v>4.5</v>
      </c>
      <c r="AU97" s="27">
        <f>AU96</f>
        <v>0.1</v>
      </c>
      <c r="AV97">
        <f>AV96+0.25</f>
        <v>0.4</v>
      </c>
      <c r="AZ97" s="24">
        <f>AZ96+1</f>
        <v>3.5</v>
      </c>
      <c r="BB97">
        <f>BB96</f>
        <v>0.9</v>
      </c>
      <c r="BF97">
        <v>1</v>
      </c>
    </row>
    <row r="98" spans="19:62">
      <c r="S98" s="89"/>
      <c r="T98" s="71"/>
      <c r="U98">
        <v>2005</v>
      </c>
      <c r="V98" t="s">
        <v>664</v>
      </c>
      <c r="W98" s="52" t="s">
        <v>378</v>
      </c>
      <c r="Y98" t="s">
        <v>665</v>
      </c>
      <c r="Z98" t="s">
        <v>666</v>
      </c>
      <c r="AA98" s="27">
        <f>AA97+2.5%</f>
        <v>-5.000000000000001E-2</v>
      </c>
      <c r="AD98" s="28">
        <f>AD97+2.5%</f>
        <v>0.125</v>
      </c>
      <c r="AF98" s="28">
        <f>AF97+2.5%</f>
        <v>0.125</v>
      </c>
      <c r="AG98">
        <f>AG97+3</f>
        <v>12</v>
      </c>
      <c r="AI98">
        <f>AI97+1.5</f>
        <v>6</v>
      </c>
      <c r="AU98" s="27">
        <f>AU97</f>
        <v>0.1</v>
      </c>
      <c r="AV98">
        <f>AV97+0.25</f>
        <v>0.65</v>
      </c>
      <c r="AZ98" s="24">
        <f>AZ97+1</f>
        <v>4.5</v>
      </c>
      <c r="BB98">
        <f>BB97</f>
        <v>0.9</v>
      </c>
      <c r="BF98">
        <v>1</v>
      </c>
    </row>
    <row r="99" spans="19:62">
      <c r="S99" s="89"/>
    </row>
    <row r="100" spans="19:62">
      <c r="S100" s="89"/>
      <c r="T100" s="71" t="s">
        <v>381</v>
      </c>
      <c r="U100" s="15">
        <v>1939</v>
      </c>
      <c r="V100" s="15" t="s">
        <v>382</v>
      </c>
      <c r="W100" s="15" t="s">
        <v>525</v>
      </c>
      <c r="X100" s="15"/>
      <c r="Y100" s="15" t="s">
        <v>383</v>
      </c>
      <c r="Z100" s="15" t="s">
        <v>384</v>
      </c>
      <c r="AA100" s="15"/>
      <c r="AB100" s="15"/>
      <c r="AC100" s="15"/>
      <c r="AD100" s="15"/>
      <c r="AE100" s="15"/>
      <c r="AF100" s="15"/>
      <c r="AG100" s="51">
        <v>1</v>
      </c>
      <c r="AH100" s="51"/>
      <c r="AI100" s="54">
        <v>0.5</v>
      </c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>
        <v>0</v>
      </c>
      <c r="AW100" s="15"/>
      <c r="AX100" s="15"/>
      <c r="AY100" s="15"/>
      <c r="AZ100" s="25">
        <v>0</v>
      </c>
      <c r="BA100" s="15"/>
      <c r="BB100" s="15">
        <v>0.1</v>
      </c>
      <c r="BC100" s="15"/>
      <c r="BD100" s="15"/>
      <c r="BE100" s="15"/>
      <c r="BF100" s="15"/>
      <c r="BG100" s="15"/>
    </row>
    <row r="101" spans="19:62">
      <c r="S101" s="89"/>
      <c r="T101" s="71"/>
      <c r="U101">
        <v>1942</v>
      </c>
      <c r="V101" t="s">
        <v>385</v>
      </c>
      <c r="W101" t="s">
        <v>385</v>
      </c>
      <c r="Y101" t="s">
        <v>386</v>
      </c>
      <c r="Z101" t="s">
        <v>387</v>
      </c>
      <c r="AA101" s="27">
        <f>AA100-5%</f>
        <v>-0.05</v>
      </c>
      <c r="AG101" s="52">
        <f>AG100+4</f>
        <v>5</v>
      </c>
      <c r="AH101" s="27">
        <v>0.05</v>
      </c>
      <c r="AI101" s="52">
        <f>AI100</f>
        <v>0.5</v>
      </c>
      <c r="AV101">
        <f>AV100+0.1</f>
        <v>0.1</v>
      </c>
      <c r="AZ101" s="24">
        <f>AZ100+1.2</f>
        <v>1.2</v>
      </c>
      <c r="BB101">
        <f>BB100+0.05</f>
        <v>0.15000000000000002</v>
      </c>
    </row>
    <row r="102" spans="19:62">
      <c r="S102" s="89"/>
      <c r="T102" s="71"/>
      <c r="U102">
        <v>1955</v>
      </c>
      <c r="V102" t="s">
        <v>388</v>
      </c>
      <c r="W102" t="s">
        <v>388</v>
      </c>
      <c r="Y102" t="s">
        <v>389</v>
      </c>
      <c r="Z102" t="s">
        <v>390</v>
      </c>
      <c r="AA102" s="27">
        <f>AA100-5%</f>
        <v>-0.05</v>
      </c>
      <c r="AG102" s="52">
        <f>AG101+4</f>
        <v>9</v>
      </c>
      <c r="AH102" s="27">
        <f>AH101+5%</f>
        <v>0.1</v>
      </c>
      <c r="AI102" s="52">
        <f>AI101+0.5</f>
        <v>1</v>
      </c>
      <c r="AV102">
        <f>AV101+0.1</f>
        <v>0.2</v>
      </c>
      <c r="AZ102" s="24">
        <f t="shared" ref="AZ102:AZ105" si="14">AZ101+1.2</f>
        <v>2.4</v>
      </c>
      <c r="BB102">
        <f>BB101+0.05</f>
        <v>0.2</v>
      </c>
    </row>
    <row r="103" spans="19:62">
      <c r="S103" s="89"/>
      <c r="T103" s="71"/>
      <c r="U103">
        <v>1970</v>
      </c>
      <c r="V103" t="s">
        <v>391</v>
      </c>
      <c r="W103" t="s">
        <v>391</v>
      </c>
      <c r="Y103" t="s">
        <v>392</v>
      </c>
      <c r="Z103" t="s">
        <v>393</v>
      </c>
      <c r="AA103" s="27">
        <f>AA100-4%</f>
        <v>-0.04</v>
      </c>
      <c r="AG103" s="52">
        <f>AG102+4</f>
        <v>13</v>
      </c>
      <c r="AH103" s="27">
        <f>AH102+5%</f>
        <v>0.15000000000000002</v>
      </c>
      <c r="AI103" s="52">
        <f>AI102+1.5</f>
        <v>2.5</v>
      </c>
      <c r="AJ103" s="27">
        <v>0.05</v>
      </c>
      <c r="AV103">
        <f>AV102+0.1</f>
        <v>0.30000000000000004</v>
      </c>
      <c r="AZ103" s="24">
        <f t="shared" si="14"/>
        <v>3.5999999999999996</v>
      </c>
      <c r="BB103">
        <f>BB102+0.05</f>
        <v>0.25</v>
      </c>
      <c r="BF103">
        <v>1</v>
      </c>
    </row>
    <row r="104" spans="19:62">
      <c r="S104" s="89"/>
      <c r="T104" s="71"/>
      <c r="U104">
        <v>1985</v>
      </c>
      <c r="V104" t="s">
        <v>394</v>
      </c>
      <c r="W104" t="s">
        <v>394</v>
      </c>
      <c r="Y104" t="s">
        <v>395</v>
      </c>
      <c r="Z104" t="s">
        <v>396</v>
      </c>
      <c r="AA104" s="27">
        <f>AA100-3%</f>
        <v>-0.03</v>
      </c>
      <c r="AG104" s="52">
        <f>AG103+4</f>
        <v>17</v>
      </c>
      <c r="AH104" s="27">
        <f t="shared" ref="AH104:AH105" si="15">AH103+5%</f>
        <v>0.2</v>
      </c>
      <c r="AI104" s="52">
        <f>AI103+0.5</f>
        <v>3</v>
      </c>
      <c r="AJ104" s="27">
        <f>AJ103+5%</f>
        <v>0.1</v>
      </c>
      <c r="AV104">
        <f>AV103+0.1</f>
        <v>0.4</v>
      </c>
      <c r="AZ104" s="24">
        <f t="shared" si="14"/>
        <v>4.8</v>
      </c>
      <c r="BB104">
        <f>BB103+0.05</f>
        <v>0.3</v>
      </c>
      <c r="BF104">
        <v>1</v>
      </c>
    </row>
    <row r="105" spans="19:62">
      <c r="S105" s="89"/>
      <c r="T105" s="71"/>
      <c r="U105">
        <v>2005</v>
      </c>
      <c r="V105" t="s">
        <v>397</v>
      </c>
      <c r="W105" t="s">
        <v>397</v>
      </c>
      <c r="Y105" t="s">
        <v>398</v>
      </c>
      <c r="Z105" t="s">
        <v>399</v>
      </c>
      <c r="AA105" s="27">
        <f>AA100-2%</f>
        <v>-0.02</v>
      </c>
      <c r="AG105" s="52">
        <f>AG104+4</f>
        <v>21</v>
      </c>
      <c r="AH105" s="27">
        <f t="shared" si="15"/>
        <v>0.25</v>
      </c>
      <c r="AI105" s="52">
        <f>AI104+0.5</f>
        <v>3.5</v>
      </c>
      <c r="AJ105" s="27">
        <f>AJ104+5%</f>
        <v>0.15000000000000002</v>
      </c>
      <c r="AV105">
        <f>AV104+0.1</f>
        <v>0.5</v>
      </c>
      <c r="AZ105" s="24">
        <f t="shared" si="14"/>
        <v>6</v>
      </c>
      <c r="BB105">
        <f>BB104+0.05</f>
        <v>0.35</v>
      </c>
      <c r="BF105">
        <v>1</v>
      </c>
    </row>
    <row r="106" spans="19:62">
      <c r="S106" s="89"/>
    </row>
    <row r="107" spans="19:62">
      <c r="S107" s="89"/>
      <c r="T107" s="71" t="s">
        <v>667</v>
      </c>
      <c r="U107" s="15">
        <v>1939</v>
      </c>
      <c r="V107" s="15" t="s">
        <v>668</v>
      </c>
      <c r="W107" s="15" t="s">
        <v>525</v>
      </c>
      <c r="Y107" s="15" t="s">
        <v>669</v>
      </c>
      <c r="Z107" s="15" t="s">
        <v>670</v>
      </c>
      <c r="AG107" s="51">
        <v>1</v>
      </c>
      <c r="AI107" s="54">
        <v>0.5</v>
      </c>
      <c r="AV107" s="15">
        <v>0</v>
      </c>
      <c r="AZ107" s="25">
        <v>0.5</v>
      </c>
      <c r="BB107" s="15">
        <v>0.1</v>
      </c>
      <c r="BH107" s="15"/>
      <c r="BI107" s="15"/>
      <c r="BJ107" s="15"/>
    </row>
    <row r="108" spans="19:62">
      <c r="S108" s="89"/>
      <c r="T108" s="71"/>
      <c r="U108">
        <v>1955</v>
      </c>
      <c r="V108" t="s">
        <v>671</v>
      </c>
      <c r="W108" t="s">
        <v>388</v>
      </c>
      <c r="Y108" t="s">
        <v>672</v>
      </c>
      <c r="Z108" t="s">
        <v>673</v>
      </c>
      <c r="AA108" s="27">
        <f>AA106-5%</f>
        <v>-0.05</v>
      </c>
      <c r="AG108" s="52">
        <f>AG107+8</f>
        <v>9</v>
      </c>
      <c r="AH108" s="27">
        <f>AH107+10%</f>
        <v>0.1</v>
      </c>
      <c r="AI108" s="52">
        <f>AI107+0.5</f>
        <v>1</v>
      </c>
      <c r="AV108">
        <f>AV107+0.2</f>
        <v>0.2</v>
      </c>
      <c r="AY108" s="27">
        <v>0.2</v>
      </c>
      <c r="AZ108" s="24">
        <f>AZ107*6</f>
        <v>3</v>
      </c>
      <c r="BB108">
        <f>BB107+0.1</f>
        <v>0.2</v>
      </c>
    </row>
    <row r="109" spans="19:62">
      <c r="S109" s="89"/>
      <c r="T109" s="71"/>
      <c r="U109">
        <v>1970</v>
      </c>
      <c r="V109" t="s">
        <v>674</v>
      </c>
      <c r="W109" t="s">
        <v>391</v>
      </c>
      <c r="Y109" t="s">
        <v>675</v>
      </c>
      <c r="Z109" t="s">
        <v>676</v>
      </c>
      <c r="AA109" s="27">
        <f>AA106-4%</f>
        <v>-0.04</v>
      </c>
      <c r="AG109" s="52">
        <f>AG108+4</f>
        <v>13</v>
      </c>
      <c r="AH109" s="27">
        <f>AH108+5%</f>
        <v>0.15000000000000002</v>
      </c>
      <c r="AI109" s="52">
        <f>AI108+1.5</f>
        <v>2.5</v>
      </c>
      <c r="AJ109" s="27">
        <v>0.05</v>
      </c>
      <c r="AV109">
        <f>AV108+0.1</f>
        <v>0.30000000000000004</v>
      </c>
      <c r="AY109" s="27">
        <f>AY108+5%</f>
        <v>0.25</v>
      </c>
      <c r="AZ109" s="24">
        <f>AZ108+1.2</f>
        <v>4.2</v>
      </c>
      <c r="BB109">
        <f>BB108+0.05</f>
        <v>0.25</v>
      </c>
      <c r="BF109">
        <v>1</v>
      </c>
    </row>
    <row r="110" spans="19:62">
      <c r="S110" s="89"/>
      <c r="T110" s="71"/>
      <c r="U110">
        <v>1985</v>
      </c>
      <c r="V110" t="s">
        <v>677</v>
      </c>
      <c r="W110" t="s">
        <v>394</v>
      </c>
      <c r="Y110" t="s">
        <v>678</v>
      </c>
      <c r="Z110" t="s">
        <v>679</v>
      </c>
      <c r="AA110" s="27">
        <f>AA106-3%</f>
        <v>-0.03</v>
      </c>
      <c r="AG110" s="52">
        <f>AG109+4</f>
        <v>17</v>
      </c>
      <c r="AH110" s="27">
        <f t="shared" ref="AH110:AH111" si="16">AH109+5%</f>
        <v>0.2</v>
      </c>
      <c r="AI110" s="52">
        <f>AI109+0.5</f>
        <v>3</v>
      </c>
      <c r="AJ110" s="27">
        <f>AJ109+5%</f>
        <v>0.1</v>
      </c>
      <c r="AV110">
        <f>AV109+0.1</f>
        <v>0.4</v>
      </c>
      <c r="AY110" s="27">
        <f t="shared" ref="AY110:AY111" si="17">AY109+5%</f>
        <v>0.3</v>
      </c>
      <c r="AZ110" s="24">
        <f t="shared" ref="AZ110:AZ111" si="18">AZ109+1.2</f>
        <v>5.4</v>
      </c>
      <c r="BB110">
        <f>BB109+0.05</f>
        <v>0.3</v>
      </c>
      <c r="BF110">
        <v>1</v>
      </c>
    </row>
    <row r="111" spans="19:62">
      <c r="S111" s="89"/>
      <c r="T111" s="71"/>
      <c r="U111">
        <v>2005</v>
      </c>
      <c r="V111" t="s">
        <v>680</v>
      </c>
      <c r="W111" t="s">
        <v>397</v>
      </c>
      <c r="Y111" t="s">
        <v>681</v>
      </c>
      <c r="Z111" t="s">
        <v>682</v>
      </c>
      <c r="AA111" s="27">
        <f>AA106-2%</f>
        <v>-0.02</v>
      </c>
      <c r="AG111" s="52">
        <f>AG110+4</f>
        <v>21</v>
      </c>
      <c r="AH111" s="27">
        <f t="shared" si="16"/>
        <v>0.25</v>
      </c>
      <c r="AI111" s="52">
        <f>AI110+0.5</f>
        <v>3.5</v>
      </c>
      <c r="AJ111" s="27">
        <f>AJ110+5%</f>
        <v>0.15000000000000002</v>
      </c>
      <c r="AV111">
        <f>AV110+0.1</f>
        <v>0.5</v>
      </c>
      <c r="AY111" s="27">
        <f t="shared" si="17"/>
        <v>0.35</v>
      </c>
      <c r="AZ111" s="24">
        <f t="shared" si="18"/>
        <v>6.6000000000000005</v>
      </c>
      <c r="BB111">
        <f>BB110+0.05</f>
        <v>0.35</v>
      </c>
      <c r="BF111">
        <v>1</v>
      </c>
    </row>
    <row r="112" spans="19:62">
      <c r="S112" s="89"/>
      <c r="T112" s="4"/>
    </row>
    <row r="113" spans="19:59">
      <c r="S113" s="89"/>
      <c r="T113" s="71" t="s">
        <v>422</v>
      </c>
      <c r="U113" s="15">
        <v>1939</v>
      </c>
      <c r="V113" s="15" t="s">
        <v>423</v>
      </c>
      <c r="W113" s="15" t="s">
        <v>525</v>
      </c>
      <c r="Y113" s="15" t="s">
        <v>424</v>
      </c>
      <c r="Z113" s="15" t="s">
        <v>425</v>
      </c>
      <c r="AA113" s="15"/>
      <c r="AD113" s="15"/>
      <c r="AE113" s="15"/>
      <c r="AF113" s="15"/>
      <c r="AG113" s="15"/>
      <c r="AH113" s="15"/>
      <c r="AI113" s="15"/>
      <c r="AJ113" s="15"/>
      <c r="AL113" s="15"/>
      <c r="AV113" s="15"/>
      <c r="AZ113" s="25">
        <v>0</v>
      </c>
      <c r="BA113" s="15"/>
      <c r="BB113" s="15">
        <v>0.15</v>
      </c>
    </row>
    <row r="114" spans="19:59">
      <c r="S114" s="89"/>
      <c r="T114" s="71"/>
      <c r="U114">
        <v>1944</v>
      </c>
      <c r="V114" t="s">
        <v>426</v>
      </c>
      <c r="W114" t="s">
        <v>426</v>
      </c>
      <c r="Y114" t="s">
        <v>427</v>
      </c>
      <c r="Z114" t="s">
        <v>428</v>
      </c>
      <c r="AA114" s="27">
        <f>AA113-2%</f>
        <v>-0.02</v>
      </c>
      <c r="AD114" s="27">
        <f>AD113+10%</f>
        <v>0.1</v>
      </c>
      <c r="AF114" s="27">
        <f>AF113+10%</f>
        <v>0.1</v>
      </c>
      <c r="AJ114" s="27">
        <f>AJ113+5%</f>
        <v>0.05</v>
      </c>
      <c r="AL114" s="28">
        <v>-2.5000000000000001E-2</v>
      </c>
      <c r="AZ114" s="24">
        <f>AZ113+1</f>
        <v>1</v>
      </c>
      <c r="BB114">
        <f>BB113+0.1</f>
        <v>0.25</v>
      </c>
    </row>
    <row r="115" spans="19:59">
      <c r="S115" s="89"/>
      <c r="T115" s="71"/>
      <c r="U115">
        <v>1955</v>
      </c>
      <c r="V115" t="s">
        <v>429</v>
      </c>
      <c r="W115" t="s">
        <v>429</v>
      </c>
      <c r="Y115" t="s">
        <v>430</v>
      </c>
      <c r="Z115" t="s">
        <v>431</v>
      </c>
      <c r="AA115" s="27">
        <f>AA113-2%</f>
        <v>-0.02</v>
      </c>
      <c r="AD115" s="28">
        <f>AD113+2.5%</f>
        <v>2.5000000000000001E-2</v>
      </c>
      <c r="AE115" s="28"/>
      <c r="AF115" s="28">
        <f>AF113+2.5%</f>
        <v>2.5000000000000001E-2</v>
      </c>
      <c r="AG115" s="27"/>
      <c r="AH115" s="27">
        <f>AH113+5%</f>
        <v>0.05</v>
      </c>
      <c r="AV115">
        <f>AV113+0.1</f>
        <v>0.1</v>
      </c>
      <c r="AZ115" s="24">
        <f>AZ113+1</f>
        <v>1</v>
      </c>
      <c r="BB115">
        <f>BB114+0.1</f>
        <v>0.35</v>
      </c>
    </row>
    <row r="116" spans="19:59">
      <c r="S116" s="89"/>
      <c r="T116" s="71"/>
      <c r="U116">
        <v>1965</v>
      </c>
      <c r="V116" t="s">
        <v>432</v>
      </c>
      <c r="W116" t="s">
        <v>432</v>
      </c>
      <c r="Y116" t="s">
        <v>433</v>
      </c>
      <c r="Z116" t="s">
        <v>434</v>
      </c>
      <c r="AA116" s="27">
        <f>AA113-3%</f>
        <v>-0.03</v>
      </c>
      <c r="AD116" s="28">
        <f>AD114+2.5%</f>
        <v>0.125</v>
      </c>
      <c r="AF116" s="28">
        <f>AF114+2.5%</f>
        <v>0.125</v>
      </c>
      <c r="AH116" s="28">
        <f>AH115+2.5%</f>
        <v>7.5000000000000011E-2</v>
      </c>
      <c r="AJ116" s="28">
        <f>AJ114+2.5%</f>
        <v>7.5000000000000011E-2</v>
      </c>
      <c r="AL116" s="28">
        <f>AL114</f>
        <v>-2.5000000000000001E-2</v>
      </c>
      <c r="AV116">
        <f>AV115+0.05</f>
        <v>0.15000000000000002</v>
      </c>
      <c r="AZ116" s="24">
        <f>AZ113+2</f>
        <v>2</v>
      </c>
      <c r="BB116">
        <f>BB115+0.1</f>
        <v>0.44999999999999996</v>
      </c>
    </row>
    <row r="117" spans="19:59">
      <c r="S117" s="89"/>
      <c r="T117" s="71"/>
      <c r="U117">
        <v>1970</v>
      </c>
      <c r="V117" t="s">
        <v>435</v>
      </c>
      <c r="W117" t="s">
        <v>435</v>
      </c>
      <c r="Y117" t="s">
        <v>436</v>
      </c>
      <c r="Z117" t="s">
        <v>437</v>
      </c>
      <c r="AA117" s="27">
        <f>AA113-4%</f>
        <v>-0.04</v>
      </c>
      <c r="AD117" s="28">
        <f>AD116+5%</f>
        <v>0.17499999999999999</v>
      </c>
      <c r="AF117" s="28">
        <f>AF116+5%</f>
        <v>0.17499999999999999</v>
      </c>
      <c r="AH117" s="27">
        <f>AH116+2.5%</f>
        <v>0.1</v>
      </c>
      <c r="AJ117" s="27">
        <f>AJ116+2.5%</f>
        <v>0.1</v>
      </c>
      <c r="AV117">
        <f>AV116+0.05</f>
        <v>0.2</v>
      </c>
      <c r="AZ117" s="24">
        <f>AZ113+3.5</f>
        <v>3.5</v>
      </c>
      <c r="BB117">
        <f>BB116+0.1</f>
        <v>0.54999999999999993</v>
      </c>
      <c r="BF117">
        <v>1</v>
      </c>
    </row>
    <row r="118" spans="19:59">
      <c r="S118" s="89"/>
      <c r="T118" s="71"/>
      <c r="U118">
        <v>1980</v>
      </c>
      <c r="V118" t="s">
        <v>438</v>
      </c>
      <c r="W118" t="s">
        <v>438</v>
      </c>
      <c r="Y118" t="s">
        <v>439</v>
      </c>
      <c r="Z118" t="s">
        <v>440</v>
      </c>
      <c r="AA118" s="27">
        <f>AA117</f>
        <v>-0.04</v>
      </c>
      <c r="AD118" s="27">
        <f>AD117+2.5%</f>
        <v>0.19999999999999998</v>
      </c>
      <c r="AF118" s="27">
        <f>AF117+2.5%</f>
        <v>0.19999999999999998</v>
      </c>
      <c r="AH118" s="28">
        <f>AH117+2.5%</f>
        <v>0.125</v>
      </c>
      <c r="AJ118" s="28">
        <f>AJ117+2.5%</f>
        <v>0.125</v>
      </c>
      <c r="AV118">
        <f>AV117+0.05</f>
        <v>0.25</v>
      </c>
      <c r="AZ118" s="24">
        <f>AZ117+0.75</f>
        <v>4.25</v>
      </c>
      <c r="BB118">
        <f>BB117+0.1</f>
        <v>0.64999999999999991</v>
      </c>
      <c r="BF118">
        <v>1</v>
      </c>
    </row>
    <row r="119" spans="19:59">
      <c r="S119" s="89"/>
      <c r="T119" s="71"/>
      <c r="U119">
        <v>1990</v>
      </c>
      <c r="V119" t="s">
        <v>441</v>
      </c>
      <c r="W119" t="s">
        <v>441</v>
      </c>
      <c r="Y119" t="s">
        <v>442</v>
      </c>
      <c r="Z119" t="s">
        <v>443</v>
      </c>
      <c r="AA119" s="27">
        <f>AA118</f>
        <v>-0.04</v>
      </c>
      <c r="AD119" s="28">
        <f>AD118+2.5%</f>
        <v>0.22499999999999998</v>
      </c>
      <c r="AF119" s="28">
        <f>AF118+2.5%</f>
        <v>0.22499999999999998</v>
      </c>
      <c r="AH119" s="27">
        <f>AH118+2.5%</f>
        <v>0.15</v>
      </c>
      <c r="AJ119" s="27">
        <f>AJ118+2.5%</f>
        <v>0.15</v>
      </c>
      <c r="AV119">
        <f>AV118+0.05</f>
        <v>0.3</v>
      </c>
      <c r="AZ119" s="24">
        <f t="shared" ref="AZ119:AZ120" si="19">AZ118+0.75</f>
        <v>5</v>
      </c>
      <c r="BB119">
        <f>BB118+0.1</f>
        <v>0.74999999999999989</v>
      </c>
      <c r="BF119">
        <v>1</v>
      </c>
    </row>
    <row r="120" spans="19:59">
      <c r="S120" s="89"/>
      <c r="T120" s="71"/>
      <c r="U120">
        <v>2010</v>
      </c>
      <c r="V120" t="s">
        <v>438</v>
      </c>
      <c r="W120" t="s">
        <v>438</v>
      </c>
      <c r="Y120" t="s">
        <v>444</v>
      </c>
      <c r="Z120" t="s">
        <v>445</v>
      </c>
      <c r="AA120" s="27">
        <f>AA119</f>
        <v>-0.04</v>
      </c>
      <c r="AD120" s="27">
        <f>AD119+2.5%</f>
        <v>0.24999999999999997</v>
      </c>
      <c r="AF120" s="27">
        <f>AF119+2.5%</f>
        <v>0.24999999999999997</v>
      </c>
      <c r="AH120" s="28">
        <f>AH119+2.5%</f>
        <v>0.17499999999999999</v>
      </c>
      <c r="AJ120" s="28">
        <f>AJ119+2.5%</f>
        <v>0.17499999999999999</v>
      </c>
      <c r="AV120">
        <f>AV119+0.05</f>
        <v>0.35</v>
      </c>
      <c r="AZ120" s="24">
        <f t="shared" si="19"/>
        <v>5.75</v>
      </c>
      <c r="BB120">
        <f>BB119+0.1</f>
        <v>0.84999999999999987</v>
      </c>
      <c r="BF120">
        <v>1</v>
      </c>
    </row>
    <row r="121" spans="19:59">
      <c r="S121" s="89"/>
    </row>
    <row r="122" spans="19:59">
      <c r="S122" s="89"/>
      <c r="T122" s="71" t="s">
        <v>446</v>
      </c>
      <c r="U122" s="15">
        <v>1965</v>
      </c>
      <c r="V122" s="15" t="s">
        <v>447</v>
      </c>
      <c r="W122" s="15" t="s">
        <v>447</v>
      </c>
      <c r="Y122" s="15" t="s">
        <v>448</v>
      </c>
      <c r="Z122" s="15" t="s">
        <v>449</v>
      </c>
      <c r="AG122" s="15">
        <v>1.5</v>
      </c>
      <c r="AH122" s="26">
        <v>0.03</v>
      </c>
      <c r="AI122" s="15">
        <v>1</v>
      </c>
      <c r="AJ122" s="26">
        <v>0.03</v>
      </c>
      <c r="AQ122" s="15">
        <v>0.5</v>
      </c>
      <c r="AV122" s="15">
        <v>0.05</v>
      </c>
      <c r="AW122" s="15"/>
      <c r="AX122" s="15"/>
      <c r="AY122" s="15"/>
      <c r="AZ122" s="25">
        <v>2</v>
      </c>
      <c r="BB122" s="15">
        <v>0.1</v>
      </c>
    </row>
    <row r="123" spans="19:59">
      <c r="S123" s="89"/>
      <c r="T123" s="71"/>
      <c r="U123">
        <v>1985</v>
      </c>
      <c r="V123" t="s">
        <v>450</v>
      </c>
      <c r="W123" t="s">
        <v>450</v>
      </c>
      <c r="Y123" t="s">
        <v>451</v>
      </c>
      <c r="Z123" t="s">
        <v>452</v>
      </c>
      <c r="AG123">
        <f>AG122*2</f>
        <v>3</v>
      </c>
      <c r="AH123" s="27">
        <f>AH122*2</f>
        <v>0.06</v>
      </c>
      <c r="AI123">
        <f>AI122*2</f>
        <v>2</v>
      </c>
      <c r="AJ123" s="27">
        <f>AJ122*2</f>
        <v>0.06</v>
      </c>
      <c r="AQ123">
        <f>AQ122*2</f>
        <v>1</v>
      </c>
      <c r="AV123">
        <f>AV122*2</f>
        <v>0.1</v>
      </c>
      <c r="AZ123" s="24">
        <f>AZ122+1</f>
        <v>3</v>
      </c>
      <c r="BB123">
        <f>BB122+0.05</f>
        <v>0.15000000000000002</v>
      </c>
    </row>
    <row r="124" spans="19:59">
      <c r="S124" s="89"/>
      <c r="T124" s="71"/>
      <c r="U124">
        <v>2005</v>
      </c>
      <c r="V124" t="s">
        <v>453</v>
      </c>
      <c r="W124" t="s">
        <v>453</v>
      </c>
      <c r="Y124" t="s">
        <v>454</v>
      </c>
      <c r="Z124" t="s">
        <v>455</v>
      </c>
      <c r="AG124">
        <f>AG122*4</f>
        <v>6</v>
      </c>
      <c r="AH124" s="27">
        <f>AH122*4</f>
        <v>0.12</v>
      </c>
      <c r="AI124">
        <f>AI122*4</f>
        <v>4</v>
      </c>
      <c r="AJ124" s="27">
        <f>AJ122*4</f>
        <v>0.12</v>
      </c>
      <c r="AQ124">
        <f>AQ122*3</f>
        <v>1.5</v>
      </c>
      <c r="AV124">
        <f>AV122*4</f>
        <v>0.2</v>
      </c>
      <c r="AZ124" s="24">
        <f>AZ123+1</f>
        <v>4</v>
      </c>
      <c r="BB124">
        <f>BB123+0.05</f>
        <v>0.2</v>
      </c>
    </row>
    <row r="125" spans="19:59">
      <c r="S125" s="89"/>
    </row>
    <row r="126" spans="19:59">
      <c r="S126" s="89"/>
      <c r="T126" s="71" t="s">
        <v>683</v>
      </c>
      <c r="U126" s="15">
        <v>1939</v>
      </c>
      <c r="V126" s="15" t="s">
        <v>684</v>
      </c>
      <c r="W126" s="15" t="s">
        <v>525</v>
      </c>
      <c r="X126" s="15"/>
      <c r="Y126" s="15" t="s">
        <v>685</v>
      </c>
      <c r="Z126" s="15" t="s">
        <v>686</v>
      </c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25">
        <v>0.5</v>
      </c>
      <c r="BA126" s="15"/>
      <c r="BB126" s="15">
        <v>0.15</v>
      </c>
      <c r="BC126" s="15"/>
      <c r="BD126" s="15"/>
      <c r="BE126" s="15"/>
      <c r="BF126" s="15"/>
      <c r="BG126" s="15"/>
    </row>
    <row r="127" spans="19:59">
      <c r="S127" s="89"/>
      <c r="T127" s="71"/>
      <c r="U127">
        <v>2000</v>
      </c>
      <c r="V127" t="s">
        <v>687</v>
      </c>
      <c r="W127" s="1" t="s">
        <v>688</v>
      </c>
      <c r="Y127" t="s">
        <v>689</v>
      </c>
      <c r="Z127" t="s">
        <v>690</v>
      </c>
      <c r="AD127" s="27">
        <v>0.2</v>
      </c>
      <c r="AF127" s="27">
        <v>0.2</v>
      </c>
      <c r="AH127" s="27">
        <v>0.2</v>
      </c>
      <c r="AJ127" s="27">
        <v>0.2</v>
      </c>
      <c r="AU127" s="27">
        <v>-0.1</v>
      </c>
      <c r="AV127">
        <v>0.3</v>
      </c>
      <c r="AZ127" s="24">
        <v>8</v>
      </c>
      <c r="BB127">
        <f>BB126+0.1</f>
        <v>0.25</v>
      </c>
      <c r="BF127">
        <v>1</v>
      </c>
    </row>
    <row r="128" spans="19:59">
      <c r="S128" s="89"/>
    </row>
    <row r="129" spans="15:59">
      <c r="S129" s="89"/>
      <c r="T129" s="71" t="s">
        <v>691</v>
      </c>
      <c r="U129" s="15">
        <v>1939</v>
      </c>
      <c r="V129" s="15" t="s">
        <v>692</v>
      </c>
      <c r="W129" s="15" t="s">
        <v>525</v>
      </c>
      <c r="X129" s="15"/>
      <c r="Y129" s="15" t="s">
        <v>693</v>
      </c>
      <c r="Z129" s="15" t="s">
        <v>694</v>
      </c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25">
        <v>0</v>
      </c>
      <c r="BA129" s="15"/>
      <c r="BB129" s="15">
        <v>0.15</v>
      </c>
      <c r="BC129" s="15"/>
      <c r="BD129" s="15"/>
      <c r="BE129" s="15"/>
      <c r="BF129" s="15"/>
      <c r="BG129" s="15"/>
    </row>
    <row r="130" spans="15:59">
      <c r="S130" s="89"/>
      <c r="T130" s="71"/>
      <c r="U130">
        <v>1970</v>
      </c>
      <c r="V130" t="s">
        <v>695</v>
      </c>
      <c r="W130" t="s">
        <v>435</v>
      </c>
      <c r="Y130" t="s">
        <v>696</v>
      </c>
      <c r="Z130" t="s">
        <v>697</v>
      </c>
      <c r="AA130" s="27">
        <f>AA126-4%</f>
        <v>-0.04</v>
      </c>
      <c r="AD130" s="28">
        <v>0.17499999999999999</v>
      </c>
      <c r="AF130" s="28">
        <v>0.17499999999999999</v>
      </c>
      <c r="AH130" s="27">
        <v>0.1</v>
      </c>
      <c r="AJ130" s="27">
        <v>0.1</v>
      </c>
      <c r="AV130">
        <v>0.2</v>
      </c>
      <c r="AY130" s="27">
        <v>0.1</v>
      </c>
      <c r="AZ130" s="24">
        <f>AZ129+4.5</f>
        <v>4.5</v>
      </c>
      <c r="BB130">
        <f>BB129+0.4</f>
        <v>0.55000000000000004</v>
      </c>
      <c r="BF130">
        <v>1</v>
      </c>
    </row>
    <row r="131" spans="15:59">
      <c r="O131" s="1" t="s">
        <v>698</v>
      </c>
      <c r="S131" s="89"/>
      <c r="T131" s="71"/>
      <c r="U131">
        <v>1980</v>
      </c>
      <c r="V131" t="s">
        <v>699</v>
      </c>
      <c r="W131" t="s">
        <v>438</v>
      </c>
      <c r="Y131" t="s">
        <v>700</v>
      </c>
      <c r="Z131" t="s">
        <v>701</v>
      </c>
      <c r="AA131" s="27">
        <f>AA130</f>
        <v>-0.04</v>
      </c>
      <c r="AD131" s="27">
        <f t="shared" ref="AD131:AD134" si="20">AD130+2.5%</f>
        <v>0.19999999999999998</v>
      </c>
      <c r="AF131" s="27">
        <f t="shared" ref="AF131:AF134" si="21">AF130+2.5%</f>
        <v>0.19999999999999998</v>
      </c>
      <c r="AH131" s="28">
        <f t="shared" ref="AH131:AH134" si="22">AH130+2.5%</f>
        <v>0.125</v>
      </c>
      <c r="AJ131" s="28">
        <f t="shared" ref="AJ131:AJ134" si="23">AJ130+2.5%</f>
        <v>0.125</v>
      </c>
      <c r="AV131">
        <f>AV130+0.05</f>
        <v>0.25</v>
      </c>
      <c r="AY131" s="27">
        <f t="shared" ref="AY131:AY134" si="24">AY130+5%</f>
        <v>0.15000000000000002</v>
      </c>
      <c r="AZ131" s="24">
        <f>AZ130+1</f>
        <v>5.5</v>
      </c>
      <c r="BB131">
        <f t="shared" ref="BB131:BB134" si="25">BB130+0.1</f>
        <v>0.65</v>
      </c>
      <c r="BF131">
        <v>1</v>
      </c>
    </row>
    <row r="132" spans="15:59">
      <c r="O132" t="s">
        <v>702</v>
      </c>
      <c r="S132" s="89"/>
      <c r="T132" s="71"/>
      <c r="U132">
        <v>1990</v>
      </c>
      <c r="V132" t="s">
        <v>703</v>
      </c>
      <c r="W132" t="s">
        <v>441</v>
      </c>
      <c r="Y132" t="s">
        <v>704</v>
      </c>
      <c r="Z132" t="s">
        <v>705</v>
      </c>
      <c r="AA132" s="27">
        <f>AA131</f>
        <v>-0.04</v>
      </c>
      <c r="AD132" s="28">
        <f>AD131+2.5%</f>
        <v>0.22499999999999998</v>
      </c>
      <c r="AF132" s="28">
        <f t="shared" si="21"/>
        <v>0.22499999999999998</v>
      </c>
      <c r="AH132" s="27">
        <f t="shared" si="22"/>
        <v>0.15</v>
      </c>
      <c r="AJ132" s="27">
        <f t="shared" si="23"/>
        <v>0.15</v>
      </c>
      <c r="AV132">
        <f>AV131+0.05</f>
        <v>0.3</v>
      </c>
      <c r="AY132" s="27">
        <f t="shared" si="24"/>
        <v>0.2</v>
      </c>
      <c r="AZ132" s="24">
        <f>AZ131+1</f>
        <v>6.5</v>
      </c>
      <c r="BB132">
        <f t="shared" si="25"/>
        <v>0.75</v>
      </c>
      <c r="BF132">
        <v>1</v>
      </c>
    </row>
    <row r="133" spans="15:59">
      <c r="O133" t="s">
        <v>706</v>
      </c>
      <c r="S133" s="89"/>
      <c r="T133" s="71"/>
      <c r="U133">
        <v>2000</v>
      </c>
      <c r="V133" t="s">
        <v>707</v>
      </c>
      <c r="W133" s="1" t="s">
        <v>708</v>
      </c>
      <c r="Y133" t="s">
        <v>709</v>
      </c>
      <c r="Z133" t="s">
        <v>710</v>
      </c>
      <c r="AA133" s="27">
        <f>AA132</f>
        <v>-0.04</v>
      </c>
      <c r="AD133" s="27">
        <f t="shared" si="20"/>
        <v>0.24999999999999997</v>
      </c>
      <c r="AF133" s="27">
        <f t="shared" si="21"/>
        <v>0.24999999999999997</v>
      </c>
      <c r="AH133" s="28">
        <f t="shared" si="22"/>
        <v>0.17499999999999999</v>
      </c>
      <c r="AJ133" s="28">
        <f t="shared" si="23"/>
        <v>0.17499999999999999</v>
      </c>
      <c r="AV133">
        <f>AV132+0.05</f>
        <v>0.35</v>
      </c>
      <c r="AY133" s="27">
        <f t="shared" si="24"/>
        <v>0.25</v>
      </c>
      <c r="AZ133" s="24">
        <f>AZ132+1</f>
        <v>7.5</v>
      </c>
      <c r="BB133">
        <f t="shared" si="25"/>
        <v>0.85</v>
      </c>
      <c r="BF133">
        <v>1</v>
      </c>
    </row>
    <row r="134" spans="15:59">
      <c r="O134" t="s">
        <v>711</v>
      </c>
      <c r="S134" s="89"/>
      <c r="T134" s="71"/>
      <c r="U134">
        <v>2010</v>
      </c>
      <c r="V134" t="s">
        <v>712</v>
      </c>
      <c r="W134" t="s">
        <v>438</v>
      </c>
      <c r="Y134" t="s">
        <v>713</v>
      </c>
      <c r="Z134" t="s">
        <v>714</v>
      </c>
      <c r="AA134" s="27">
        <f>AA133</f>
        <v>-0.04</v>
      </c>
      <c r="AD134" s="28">
        <f t="shared" si="20"/>
        <v>0.27499999999999997</v>
      </c>
      <c r="AF134" s="28">
        <f t="shared" si="21"/>
        <v>0.27499999999999997</v>
      </c>
      <c r="AH134" s="27">
        <f t="shared" si="22"/>
        <v>0.19999999999999998</v>
      </c>
      <c r="AJ134" s="27">
        <f t="shared" si="23"/>
        <v>0.19999999999999998</v>
      </c>
      <c r="AV134">
        <f>AV133+0.05</f>
        <v>0.39999999999999997</v>
      </c>
      <c r="AY134" s="27">
        <f t="shared" si="24"/>
        <v>0.3</v>
      </c>
      <c r="AZ134" s="24">
        <f>AZ133+1</f>
        <v>8.5</v>
      </c>
      <c r="BB134">
        <f t="shared" si="25"/>
        <v>0.95</v>
      </c>
      <c r="BF134">
        <v>1</v>
      </c>
    </row>
    <row r="135" spans="15:59">
      <c r="O135" t="s">
        <v>715</v>
      </c>
      <c r="S135" s="89"/>
    </row>
    <row r="136" spans="15:59">
      <c r="O136" t="s">
        <v>716</v>
      </c>
      <c r="S136" s="89"/>
      <c r="T136" s="71" t="s">
        <v>400</v>
      </c>
      <c r="U136" s="15">
        <v>1955</v>
      </c>
      <c r="V136" s="15" t="s">
        <v>401</v>
      </c>
      <c r="W136" s="15" t="s">
        <v>401</v>
      </c>
      <c r="Y136" s="15" t="s">
        <v>402</v>
      </c>
      <c r="Z136" s="15" t="s">
        <v>403</v>
      </c>
      <c r="AA136" s="26">
        <v>-0.05</v>
      </c>
      <c r="AD136" s="26">
        <v>0.05</v>
      </c>
      <c r="AE136" s="15"/>
      <c r="AF136" s="26">
        <v>0.05</v>
      </c>
      <c r="AG136" s="15"/>
      <c r="AH136" s="26">
        <v>0.05</v>
      </c>
      <c r="AI136" s="15"/>
      <c r="AJ136" s="26">
        <v>0.05</v>
      </c>
      <c r="AR136" s="15"/>
      <c r="AU136" s="26">
        <v>-0.05</v>
      </c>
      <c r="AV136" s="15">
        <v>0.15</v>
      </c>
      <c r="AW136" s="15"/>
      <c r="AX136" s="15"/>
      <c r="AZ136" s="25">
        <v>3</v>
      </c>
      <c r="BB136" s="15">
        <v>0.1</v>
      </c>
    </row>
    <row r="137" spans="15:59">
      <c r="S137" s="89"/>
      <c r="T137" s="71"/>
      <c r="U137">
        <v>1965</v>
      </c>
      <c r="V137" t="s">
        <v>404</v>
      </c>
      <c r="W137" t="s">
        <v>404</v>
      </c>
      <c r="Y137" t="s">
        <v>405</v>
      </c>
      <c r="Z137" s="22" t="s">
        <v>406</v>
      </c>
      <c r="AA137" s="28">
        <f>AA136+2.5%</f>
        <v>-2.5000000000000001E-2</v>
      </c>
      <c r="AD137" s="27">
        <f>AD136*2</f>
        <v>0.1</v>
      </c>
      <c r="AF137" s="27">
        <f>AF136*2</f>
        <v>0.1</v>
      </c>
      <c r="AH137" s="27">
        <f>AH136*2</f>
        <v>0.1</v>
      </c>
      <c r="AJ137" s="27">
        <f>AJ136*2</f>
        <v>0.1</v>
      </c>
      <c r="AU137" s="28">
        <f>AU136-2.5%</f>
        <v>-7.5000000000000011E-2</v>
      </c>
      <c r="AV137">
        <f>AV136+0.1</f>
        <v>0.25</v>
      </c>
      <c r="AZ137" s="24">
        <f>AZ136+0.75</f>
        <v>3.75</v>
      </c>
      <c r="BB137">
        <f t="shared" ref="BB137:BB142" si="26">BB136+0.05</f>
        <v>0.15000000000000002</v>
      </c>
      <c r="BF137">
        <v>1</v>
      </c>
    </row>
    <row r="138" spans="15:59">
      <c r="O138" t="s">
        <v>717</v>
      </c>
      <c r="S138" s="89"/>
      <c r="T138" s="71"/>
      <c r="U138">
        <v>1975</v>
      </c>
      <c r="V138" t="s">
        <v>407</v>
      </c>
      <c r="W138" t="s">
        <v>407</v>
      </c>
      <c r="Y138" t="s">
        <v>408</v>
      </c>
      <c r="Z138" s="22" t="s">
        <v>409</v>
      </c>
      <c r="AA138" s="27">
        <f>AA137+1.5%</f>
        <v>-1.0000000000000002E-2</v>
      </c>
      <c r="AD138" s="27">
        <f>AD136*3</f>
        <v>0.15000000000000002</v>
      </c>
      <c r="AF138" s="27">
        <f>AF136*3</f>
        <v>0.15000000000000002</v>
      </c>
      <c r="AH138" s="27">
        <f>AH136*3</f>
        <v>0.15000000000000002</v>
      </c>
      <c r="AJ138" s="27">
        <f>AJ136*3</f>
        <v>0.15000000000000002</v>
      </c>
      <c r="AU138" s="27">
        <f t="shared" ref="AU138:AU142" si="27">AU137-2.5%</f>
        <v>-0.1</v>
      </c>
      <c r="AV138">
        <f t="shared" ref="AV138:AV142" si="28">AV137+0.1</f>
        <v>0.35</v>
      </c>
      <c r="AZ138" s="24">
        <f t="shared" ref="AZ138:AZ142" si="29">AZ137+0.75</f>
        <v>4.5</v>
      </c>
      <c r="BB138">
        <f t="shared" si="26"/>
        <v>0.2</v>
      </c>
      <c r="BF138">
        <v>2</v>
      </c>
    </row>
    <row r="139" spans="15:59">
      <c r="O139" t="s">
        <v>718</v>
      </c>
      <c r="S139" s="89"/>
      <c r="T139" s="71"/>
      <c r="U139">
        <v>1985</v>
      </c>
      <c r="V139" t="s">
        <v>410</v>
      </c>
      <c r="W139" t="s">
        <v>410</v>
      </c>
      <c r="Y139" t="s">
        <v>411</v>
      </c>
      <c r="Z139" s="22" t="s">
        <v>412</v>
      </c>
      <c r="AA139" s="27">
        <f>AA138</f>
        <v>-1.0000000000000002E-2</v>
      </c>
      <c r="AD139" s="27">
        <f>AD136*4</f>
        <v>0.2</v>
      </c>
      <c r="AF139" s="27">
        <f>AF136*4</f>
        <v>0.2</v>
      </c>
      <c r="AH139" s="27">
        <f>AH136*4</f>
        <v>0.2</v>
      </c>
      <c r="AJ139" s="27">
        <f>AJ136*4</f>
        <v>0.2</v>
      </c>
      <c r="AR139" s="27">
        <f>AR136+10%</f>
        <v>0.1</v>
      </c>
      <c r="AU139" s="28">
        <f t="shared" si="27"/>
        <v>-0.125</v>
      </c>
      <c r="AV139">
        <f t="shared" si="28"/>
        <v>0.44999999999999996</v>
      </c>
      <c r="AZ139" s="24">
        <f t="shared" si="29"/>
        <v>5.25</v>
      </c>
      <c r="BB139">
        <f t="shared" si="26"/>
        <v>0.25</v>
      </c>
      <c r="BF139">
        <v>2</v>
      </c>
    </row>
    <row r="140" spans="15:59">
      <c r="S140" s="89"/>
      <c r="T140" s="71"/>
      <c r="U140">
        <v>1995</v>
      </c>
      <c r="V140" t="s">
        <v>413</v>
      </c>
      <c r="W140" t="s">
        <v>413</v>
      </c>
      <c r="Y140" t="s">
        <v>414</v>
      </c>
      <c r="Z140" s="22" t="s">
        <v>415</v>
      </c>
      <c r="AA140" s="27">
        <f>AA139</f>
        <v>-1.0000000000000002E-2</v>
      </c>
      <c r="AD140" s="27">
        <f>AD136*5</f>
        <v>0.25</v>
      </c>
      <c r="AF140" s="27">
        <f>AF136*5</f>
        <v>0.25</v>
      </c>
      <c r="AH140" s="27">
        <f>AH136*5</f>
        <v>0.25</v>
      </c>
      <c r="AJ140" s="27">
        <f>AJ136*5</f>
        <v>0.25</v>
      </c>
      <c r="AR140" s="27">
        <f>AR139+5%</f>
        <v>0.15000000000000002</v>
      </c>
      <c r="AU140" s="27">
        <f t="shared" si="27"/>
        <v>-0.15</v>
      </c>
      <c r="AV140">
        <f>AV139+0.1</f>
        <v>0.54999999999999993</v>
      </c>
      <c r="AZ140" s="24">
        <f t="shared" si="29"/>
        <v>6</v>
      </c>
      <c r="BB140">
        <f t="shared" si="26"/>
        <v>0.3</v>
      </c>
      <c r="BF140">
        <v>2</v>
      </c>
    </row>
    <row r="141" spans="15:59">
      <c r="S141" s="89"/>
      <c r="T141" s="71"/>
      <c r="U141">
        <v>2005</v>
      </c>
      <c r="V141" t="s">
        <v>416</v>
      </c>
      <c r="W141" t="s">
        <v>416</v>
      </c>
      <c r="Y141" t="s">
        <v>417</v>
      </c>
      <c r="Z141" t="s">
        <v>418</v>
      </c>
      <c r="AA141" s="27">
        <f>AA140</f>
        <v>-1.0000000000000002E-2</v>
      </c>
      <c r="AD141" s="27">
        <f>AD136*6</f>
        <v>0.30000000000000004</v>
      </c>
      <c r="AF141" s="27">
        <f>AF136*6</f>
        <v>0.30000000000000004</v>
      </c>
      <c r="AH141" s="27">
        <f>AH136*6</f>
        <v>0.30000000000000004</v>
      </c>
      <c r="AJ141" s="27">
        <f>AJ136*6</f>
        <v>0.30000000000000004</v>
      </c>
      <c r="AR141" s="27">
        <f>AR140+5%</f>
        <v>0.2</v>
      </c>
      <c r="AU141" s="28">
        <f t="shared" si="27"/>
        <v>-0.17499999999999999</v>
      </c>
      <c r="AV141">
        <f t="shared" si="28"/>
        <v>0.64999999999999991</v>
      </c>
      <c r="AZ141" s="24">
        <f t="shared" si="29"/>
        <v>6.75</v>
      </c>
      <c r="BB141">
        <f t="shared" si="26"/>
        <v>0.35</v>
      </c>
      <c r="BF141">
        <v>2</v>
      </c>
    </row>
    <row r="142" spans="15:59">
      <c r="S142" s="89"/>
      <c r="T142" s="71"/>
      <c r="U142">
        <v>2015</v>
      </c>
      <c r="V142" t="s">
        <v>419</v>
      </c>
      <c r="W142" t="s">
        <v>419</v>
      </c>
      <c r="Y142" t="s">
        <v>420</v>
      </c>
      <c r="Z142" s="22" t="s">
        <v>421</v>
      </c>
      <c r="AA142" s="27">
        <f>AA141</f>
        <v>-1.0000000000000002E-2</v>
      </c>
      <c r="AD142" s="27">
        <f>AD136*7</f>
        <v>0.35000000000000003</v>
      </c>
      <c r="AF142" s="27">
        <f>AF136*7</f>
        <v>0.35000000000000003</v>
      </c>
      <c r="AH142" s="27">
        <f>AH136*7</f>
        <v>0.35000000000000003</v>
      </c>
      <c r="AJ142" s="27">
        <f>AJ136*7</f>
        <v>0.35000000000000003</v>
      </c>
      <c r="AR142" s="27">
        <f>AR141+5%</f>
        <v>0.25</v>
      </c>
      <c r="AU142" s="27">
        <f t="shared" si="27"/>
        <v>-0.19999999999999998</v>
      </c>
      <c r="AV142">
        <f t="shared" si="28"/>
        <v>0.74999999999999989</v>
      </c>
      <c r="AZ142" s="24">
        <f t="shared" si="29"/>
        <v>7.5</v>
      </c>
      <c r="BB142">
        <f t="shared" si="26"/>
        <v>0.39999999999999997</v>
      </c>
      <c r="BF142">
        <v>2</v>
      </c>
    </row>
    <row r="143" spans="15:59">
      <c r="S143" s="89"/>
    </row>
    <row r="144" spans="15:59">
      <c r="S144" s="89"/>
      <c r="T144" s="92" t="s">
        <v>719</v>
      </c>
      <c r="U144" s="15">
        <v>1985</v>
      </c>
      <c r="V144" s="15" t="s">
        <v>720</v>
      </c>
      <c r="W144" s="15" t="s">
        <v>410</v>
      </c>
      <c r="X144" s="15"/>
      <c r="Y144" s="15" t="s">
        <v>721</v>
      </c>
      <c r="Z144" s="15" t="s">
        <v>722</v>
      </c>
      <c r="AA144" s="26">
        <v>-0.01</v>
      </c>
      <c r="AB144" s="15"/>
      <c r="AC144" s="15"/>
      <c r="AD144" s="26">
        <v>0.25</v>
      </c>
      <c r="AE144" s="15"/>
      <c r="AF144" s="26">
        <v>0.25</v>
      </c>
      <c r="AG144" s="15"/>
      <c r="AH144" s="26">
        <v>0.25</v>
      </c>
      <c r="AI144" s="15"/>
      <c r="AJ144" s="26">
        <v>0.25</v>
      </c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39">
        <v>-0.17499999999999999</v>
      </c>
      <c r="AV144" s="15">
        <v>0.45</v>
      </c>
      <c r="AW144" s="15"/>
      <c r="AX144" s="15"/>
      <c r="AY144" s="15"/>
      <c r="AZ144" s="25">
        <v>5.25</v>
      </c>
      <c r="BA144" s="15"/>
      <c r="BB144" s="51">
        <v>0.25</v>
      </c>
      <c r="BC144" s="15"/>
      <c r="BD144" s="15"/>
      <c r="BE144" s="15"/>
      <c r="BF144" s="15">
        <v>2</v>
      </c>
      <c r="BG144" s="15"/>
    </row>
    <row r="145" spans="19:59">
      <c r="S145" s="89"/>
      <c r="T145" s="92"/>
      <c r="U145">
        <v>1995</v>
      </c>
      <c r="V145" t="s">
        <v>723</v>
      </c>
      <c r="W145" t="s">
        <v>413</v>
      </c>
      <c r="Y145" t="s">
        <v>724</v>
      </c>
      <c r="Z145" s="22" t="s">
        <v>725</v>
      </c>
      <c r="AA145" s="27">
        <f>AA144</f>
        <v>-0.01</v>
      </c>
      <c r="AD145" s="27">
        <f>AD144+5%</f>
        <v>0.3</v>
      </c>
      <c r="AF145" s="27">
        <f>AF144+5%</f>
        <v>0.3</v>
      </c>
      <c r="AH145" s="27">
        <f>AH144+5%</f>
        <v>0.3</v>
      </c>
      <c r="AJ145" s="27">
        <f>AJ144+5%</f>
        <v>0.3</v>
      </c>
      <c r="AU145" s="27">
        <f>AU144-2.5%</f>
        <v>-0.19999999999999998</v>
      </c>
      <c r="AV145">
        <f>AV144+0.1</f>
        <v>0.55000000000000004</v>
      </c>
      <c r="AZ145" s="24">
        <f>AZ144+0.75</f>
        <v>6</v>
      </c>
      <c r="BB145">
        <f t="shared" ref="BB145:BB147" si="30">BB144+0.05</f>
        <v>0.3</v>
      </c>
      <c r="BF145">
        <v>2</v>
      </c>
    </row>
    <row r="146" spans="19:59">
      <c r="S146" s="89"/>
      <c r="T146" s="92"/>
      <c r="U146">
        <v>2005</v>
      </c>
      <c r="V146" t="s">
        <v>726</v>
      </c>
      <c r="W146" t="s">
        <v>416</v>
      </c>
      <c r="Y146" t="s">
        <v>727</v>
      </c>
      <c r="Z146" s="22" t="s">
        <v>728</v>
      </c>
      <c r="AA146" s="27">
        <f t="shared" ref="AA146:AA147" si="31">AA145</f>
        <v>-0.01</v>
      </c>
      <c r="AD146" s="27">
        <f>AD145+5%</f>
        <v>0.35</v>
      </c>
      <c r="AF146" s="27">
        <f>AF145+5%</f>
        <v>0.35</v>
      </c>
      <c r="AH146" s="27">
        <f>AH145+5%</f>
        <v>0.35</v>
      </c>
      <c r="AJ146" s="27">
        <f>AJ145+5%</f>
        <v>0.35</v>
      </c>
      <c r="AU146" s="28">
        <f t="shared" ref="AU146:AU147" si="32">AU145-2.5%</f>
        <v>-0.22499999999999998</v>
      </c>
      <c r="AV146">
        <f t="shared" ref="AV146:AV147" si="33">AV145+0.1</f>
        <v>0.65</v>
      </c>
      <c r="AZ146" s="24">
        <f t="shared" ref="AZ146:AZ147" si="34">AZ145+0.75</f>
        <v>6.75</v>
      </c>
      <c r="BB146">
        <f t="shared" si="30"/>
        <v>0.35</v>
      </c>
      <c r="BF146">
        <v>2</v>
      </c>
    </row>
    <row r="147" spans="19:59">
      <c r="S147" s="89"/>
      <c r="T147" s="92"/>
      <c r="U147">
        <v>2015</v>
      </c>
      <c r="V147" t="s">
        <v>729</v>
      </c>
      <c r="W147" t="s">
        <v>419</v>
      </c>
      <c r="Y147" t="s">
        <v>730</v>
      </c>
      <c r="Z147" s="22" t="s">
        <v>731</v>
      </c>
      <c r="AA147" s="27">
        <f t="shared" si="31"/>
        <v>-0.01</v>
      </c>
      <c r="AD147" s="27">
        <f>AD146+5%</f>
        <v>0.39999999999999997</v>
      </c>
      <c r="AF147" s="27">
        <f>AF146+5%</f>
        <v>0.39999999999999997</v>
      </c>
      <c r="AH147" s="27">
        <f>AH146+5%</f>
        <v>0.39999999999999997</v>
      </c>
      <c r="AJ147" s="27">
        <f>AJ146+5%</f>
        <v>0.39999999999999997</v>
      </c>
      <c r="AU147" s="27">
        <f t="shared" si="32"/>
        <v>-0.24999999999999997</v>
      </c>
      <c r="AV147">
        <f t="shared" si="33"/>
        <v>0.75</v>
      </c>
      <c r="AZ147" s="24">
        <f t="shared" si="34"/>
        <v>7.5</v>
      </c>
      <c r="BB147">
        <f t="shared" si="30"/>
        <v>0.39999999999999997</v>
      </c>
      <c r="BF147">
        <v>2</v>
      </c>
    </row>
    <row r="148" spans="19:59">
      <c r="S148" s="89"/>
      <c r="T148" s="66"/>
    </row>
    <row r="149" spans="19:59">
      <c r="S149" s="89"/>
      <c r="T149" s="71" t="s">
        <v>732</v>
      </c>
      <c r="U149" s="15">
        <v>1960</v>
      </c>
      <c r="V149" s="15" t="s">
        <v>733</v>
      </c>
      <c r="W149" s="15" t="s">
        <v>734</v>
      </c>
      <c r="X149" s="15"/>
      <c r="Y149" s="15" t="s">
        <v>735</v>
      </c>
      <c r="Z149" s="15" t="s">
        <v>736</v>
      </c>
      <c r="AA149" s="26">
        <v>-0.05</v>
      </c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26">
        <v>-0.05</v>
      </c>
      <c r="AV149" s="15">
        <v>1</v>
      </c>
      <c r="AW149" s="31" t="s">
        <v>737</v>
      </c>
      <c r="AX149" s="15"/>
      <c r="AY149" s="26">
        <v>0.2</v>
      </c>
      <c r="AZ149" s="25">
        <v>4</v>
      </c>
      <c r="BA149" s="15"/>
      <c r="BB149" s="15">
        <v>0.1</v>
      </c>
      <c r="BC149" s="15"/>
      <c r="BD149" s="15"/>
      <c r="BE149" s="15"/>
      <c r="BF149" s="15">
        <v>1</v>
      </c>
      <c r="BG149" s="15"/>
    </row>
    <row r="150" spans="19:59">
      <c r="S150" s="89"/>
      <c r="T150" s="71"/>
      <c r="U150">
        <v>1970</v>
      </c>
      <c r="V150" t="s">
        <v>738</v>
      </c>
      <c r="W150" t="s">
        <v>739</v>
      </c>
      <c r="Y150" t="s">
        <v>740</v>
      </c>
      <c r="Z150" t="s">
        <v>741</v>
      </c>
      <c r="AA150" s="27">
        <f>AA149</f>
        <v>-0.05</v>
      </c>
      <c r="AU150" s="28">
        <f>AU149-2.5%</f>
        <v>-7.5000000000000011E-2</v>
      </c>
      <c r="AV150">
        <f>AV149+0.2</f>
        <v>1.2</v>
      </c>
      <c r="AY150" s="27">
        <f>AY149+5%</f>
        <v>0.25</v>
      </c>
      <c r="AZ150" s="24">
        <f>AZ149+0.75</f>
        <v>4.75</v>
      </c>
      <c r="BB150">
        <f t="shared" ref="BB150:BB155" si="35">BB149+0.05</f>
        <v>0.15000000000000002</v>
      </c>
      <c r="BF150">
        <v>1</v>
      </c>
    </row>
    <row r="151" spans="19:59">
      <c r="S151" s="89"/>
      <c r="T151" s="71"/>
      <c r="U151">
        <v>1980</v>
      </c>
      <c r="V151" t="s">
        <v>742</v>
      </c>
      <c r="W151" t="s">
        <v>743</v>
      </c>
      <c r="Y151" t="s">
        <v>744</v>
      </c>
      <c r="Z151" t="s">
        <v>745</v>
      </c>
      <c r="AA151" s="27">
        <f t="shared" ref="AA151:AA155" si="36">AA150</f>
        <v>-0.05</v>
      </c>
      <c r="AU151" s="27">
        <f t="shared" ref="AU151:AU155" si="37">AU150-2.5%</f>
        <v>-0.1</v>
      </c>
      <c r="AV151">
        <f t="shared" ref="AV151:AV155" si="38">AV150+0.2</f>
        <v>1.4</v>
      </c>
      <c r="AY151" s="27">
        <f t="shared" ref="AY151:AY155" si="39">AY150+5%</f>
        <v>0.3</v>
      </c>
      <c r="AZ151" s="24">
        <f t="shared" ref="AZ151:AZ155" si="40">AZ150+0.75</f>
        <v>5.5</v>
      </c>
      <c r="BB151">
        <f t="shared" si="35"/>
        <v>0.2</v>
      </c>
      <c r="BF151">
        <v>1</v>
      </c>
    </row>
    <row r="152" spans="19:59">
      <c r="S152" s="89"/>
      <c r="T152" s="71"/>
      <c r="U152">
        <v>1990</v>
      </c>
      <c r="V152" t="s">
        <v>746</v>
      </c>
      <c r="W152" t="s">
        <v>747</v>
      </c>
      <c r="Y152" t="s">
        <v>748</v>
      </c>
      <c r="Z152" t="s">
        <v>749</v>
      </c>
      <c r="AA152" s="27">
        <f t="shared" si="36"/>
        <v>-0.05</v>
      </c>
      <c r="AU152" s="28">
        <f t="shared" si="37"/>
        <v>-0.125</v>
      </c>
      <c r="AV152">
        <f t="shared" si="38"/>
        <v>1.5999999999999999</v>
      </c>
      <c r="AY152" s="27">
        <f t="shared" si="39"/>
        <v>0.35</v>
      </c>
      <c r="AZ152" s="24">
        <f t="shared" si="40"/>
        <v>6.25</v>
      </c>
      <c r="BB152">
        <f t="shared" si="35"/>
        <v>0.25</v>
      </c>
      <c r="BF152">
        <v>2</v>
      </c>
    </row>
    <row r="153" spans="19:59">
      <c r="S153" s="89"/>
      <c r="T153" s="71"/>
      <c r="U153">
        <v>2000</v>
      </c>
      <c r="V153" t="s">
        <v>750</v>
      </c>
      <c r="W153" t="s">
        <v>751</v>
      </c>
      <c r="Y153" t="s">
        <v>752</v>
      </c>
      <c r="Z153" t="s">
        <v>753</v>
      </c>
      <c r="AA153" s="27">
        <f t="shared" si="36"/>
        <v>-0.05</v>
      </c>
      <c r="AU153" s="27">
        <f t="shared" si="37"/>
        <v>-0.15</v>
      </c>
      <c r="AV153">
        <f t="shared" si="38"/>
        <v>1.7999999999999998</v>
      </c>
      <c r="AY153" s="27">
        <f t="shared" si="39"/>
        <v>0.39999999999999997</v>
      </c>
      <c r="AZ153" s="24">
        <f t="shared" si="40"/>
        <v>7</v>
      </c>
      <c r="BB153">
        <f t="shared" si="35"/>
        <v>0.3</v>
      </c>
      <c r="BF153">
        <v>2</v>
      </c>
    </row>
    <row r="154" spans="19:59">
      <c r="S154" s="89"/>
      <c r="T154" s="71"/>
      <c r="U154">
        <v>2010</v>
      </c>
      <c r="V154" t="s">
        <v>754</v>
      </c>
      <c r="W154" t="s">
        <v>755</v>
      </c>
      <c r="Y154" t="s">
        <v>756</v>
      </c>
      <c r="Z154" t="s">
        <v>757</v>
      </c>
      <c r="AA154" s="27">
        <f t="shared" si="36"/>
        <v>-0.05</v>
      </c>
      <c r="AU154" s="28">
        <f t="shared" si="37"/>
        <v>-0.17499999999999999</v>
      </c>
      <c r="AV154">
        <f t="shared" si="38"/>
        <v>1.9999999999999998</v>
      </c>
      <c r="AY154" s="27">
        <f t="shared" si="39"/>
        <v>0.44999999999999996</v>
      </c>
      <c r="AZ154" s="24">
        <f t="shared" si="40"/>
        <v>7.75</v>
      </c>
      <c r="BB154">
        <f t="shared" si="35"/>
        <v>0.35</v>
      </c>
      <c r="BF154">
        <v>2</v>
      </c>
    </row>
    <row r="155" spans="19:59">
      <c r="S155" s="89"/>
      <c r="T155" s="71"/>
      <c r="U155">
        <v>2020</v>
      </c>
      <c r="V155" t="s">
        <v>758</v>
      </c>
      <c r="W155" t="s">
        <v>759</v>
      </c>
      <c r="Y155" t="s">
        <v>760</v>
      </c>
      <c r="Z155" t="s">
        <v>761</v>
      </c>
      <c r="AA155" s="27">
        <f t="shared" si="36"/>
        <v>-0.05</v>
      </c>
      <c r="AU155" s="27">
        <f t="shared" si="37"/>
        <v>-0.19999999999999998</v>
      </c>
      <c r="AV155">
        <f t="shared" si="38"/>
        <v>2.1999999999999997</v>
      </c>
      <c r="AY155" s="27">
        <f t="shared" si="39"/>
        <v>0.49999999999999994</v>
      </c>
      <c r="AZ155" s="24">
        <f t="shared" si="40"/>
        <v>8.5</v>
      </c>
      <c r="BB155">
        <f t="shared" si="35"/>
        <v>0.39999999999999997</v>
      </c>
      <c r="BF155">
        <v>2</v>
      </c>
    </row>
    <row r="158" spans="19:59">
      <c r="S158" s="77" t="s">
        <v>471</v>
      </c>
      <c r="T158" s="77" t="s">
        <v>2</v>
      </c>
      <c r="U158" s="77" t="s">
        <v>3</v>
      </c>
      <c r="V158" s="77" t="s">
        <v>472</v>
      </c>
      <c r="W158" s="77" t="s">
        <v>473</v>
      </c>
      <c r="X158" s="86" t="s">
        <v>240</v>
      </c>
      <c r="Y158" s="87"/>
      <c r="Z158" s="77" t="s">
        <v>474</v>
      </c>
      <c r="AA158" s="79" t="s">
        <v>121</v>
      </c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  <c r="BB158" s="81"/>
      <c r="BC158" s="82" t="s">
        <v>241</v>
      </c>
      <c r="BD158" s="83"/>
      <c r="BE158" s="83"/>
      <c r="BF158" s="83"/>
      <c r="BG158" s="84"/>
    </row>
    <row r="159" spans="19:59">
      <c r="S159" s="78"/>
      <c r="T159" s="78"/>
      <c r="U159" s="78"/>
      <c r="V159" s="78"/>
      <c r="W159" s="78"/>
      <c r="X159" s="68" t="s">
        <v>477</v>
      </c>
      <c r="Y159" s="68" t="s">
        <v>243</v>
      </c>
      <c r="Z159" s="78"/>
      <c r="AA159" s="46" t="s">
        <v>244</v>
      </c>
      <c r="AB159" s="46" t="s">
        <v>245</v>
      </c>
      <c r="AC159" s="46" t="s">
        <v>124</v>
      </c>
      <c r="AD159" s="46" t="s">
        <v>246</v>
      </c>
      <c r="AE159" s="46" t="s">
        <v>125</v>
      </c>
      <c r="AF159" s="46" t="s">
        <v>247</v>
      </c>
      <c r="AG159" s="46" t="s">
        <v>248</v>
      </c>
      <c r="AH159" s="46" t="s">
        <v>249</v>
      </c>
      <c r="AI159" s="46" t="s">
        <v>250</v>
      </c>
      <c r="AJ159" s="46" t="s">
        <v>251</v>
      </c>
      <c r="AK159" s="46" t="s">
        <v>8</v>
      </c>
      <c r="AL159" s="46" t="s">
        <v>253</v>
      </c>
      <c r="AM159" s="46" t="s">
        <v>126</v>
      </c>
      <c r="AN159" s="46" t="s">
        <v>478</v>
      </c>
      <c r="AO159" s="46" t="s">
        <v>127</v>
      </c>
      <c r="AP159" s="46" t="s">
        <v>252</v>
      </c>
      <c r="AQ159" s="46" t="s">
        <v>112</v>
      </c>
      <c r="AR159" s="46" t="s">
        <v>343</v>
      </c>
      <c r="AS159" s="53" t="s">
        <v>479</v>
      </c>
      <c r="AT159" s="46" t="s">
        <v>254</v>
      </c>
      <c r="AU159" s="46" t="s">
        <v>255</v>
      </c>
      <c r="AV159" s="46" t="s">
        <v>256</v>
      </c>
      <c r="AW159" s="46" t="s">
        <v>257</v>
      </c>
      <c r="AX159" s="46" t="s">
        <v>480</v>
      </c>
      <c r="AY159" s="46" t="s">
        <v>481</v>
      </c>
      <c r="AZ159" s="47" t="s">
        <v>9</v>
      </c>
      <c r="BA159" s="46" t="s">
        <v>258</v>
      </c>
      <c r="BB159" s="46" t="s">
        <v>259</v>
      </c>
      <c r="BC159" s="46" t="s">
        <v>260</v>
      </c>
      <c r="BD159" s="46" t="s">
        <v>261</v>
      </c>
      <c r="BE159" s="46" t="s">
        <v>262</v>
      </c>
      <c r="BF159" s="46" t="s">
        <v>263</v>
      </c>
      <c r="BG159" s="46" t="s">
        <v>264</v>
      </c>
    </row>
    <row r="160" spans="19:59" ht="15" customHeight="1">
      <c r="S160" s="89" t="s">
        <v>711</v>
      </c>
      <c r="T160" s="90" t="s">
        <v>762</v>
      </c>
      <c r="U160" s="15">
        <v>1939</v>
      </c>
      <c r="V160" s="15" t="s">
        <v>763</v>
      </c>
      <c r="W160" s="15" t="s">
        <v>764</v>
      </c>
      <c r="X160" s="15"/>
      <c r="Y160" s="15" t="s">
        <v>765</v>
      </c>
      <c r="Z160" s="15" t="s">
        <v>766</v>
      </c>
      <c r="AA160" s="26">
        <v>0.1</v>
      </c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>
        <v>2</v>
      </c>
      <c r="AW160" s="15"/>
      <c r="AX160" s="15"/>
      <c r="AY160" s="15"/>
      <c r="AZ160" s="25">
        <v>2</v>
      </c>
      <c r="BA160" s="15"/>
      <c r="BB160" s="15">
        <v>0.2</v>
      </c>
      <c r="BC160" s="15"/>
      <c r="BD160" s="15">
        <v>1</v>
      </c>
      <c r="BE160" s="15"/>
      <c r="BF160" s="15"/>
      <c r="BG160" s="15"/>
    </row>
    <row r="161" spans="19:59">
      <c r="S161" s="89"/>
      <c r="T161" s="90"/>
      <c r="U161">
        <v>1950</v>
      </c>
      <c r="V161" t="s">
        <v>767</v>
      </c>
      <c r="W161" t="s">
        <v>768</v>
      </c>
      <c r="Y161" t="s">
        <v>769</v>
      </c>
      <c r="Z161" t="s">
        <v>770</v>
      </c>
      <c r="AA161" s="28">
        <f>AA160+2.5%</f>
        <v>0.125</v>
      </c>
      <c r="AP161" s="27">
        <f>AP160+2%</f>
        <v>0.02</v>
      </c>
      <c r="AV161">
        <f t="shared" ref="AV161:AV166" si="41">AV160-0.1</f>
        <v>1.9</v>
      </c>
      <c r="AW161" s="27">
        <f>AW160-2%</f>
        <v>-0.02</v>
      </c>
      <c r="AZ161" s="24">
        <f>AZ160+0.3</f>
        <v>2.2999999999999998</v>
      </c>
      <c r="BB161">
        <f>BB160+0.05</f>
        <v>0.25</v>
      </c>
      <c r="BD161">
        <v>1</v>
      </c>
    </row>
    <row r="162" spans="19:59">
      <c r="S162" s="89"/>
      <c r="T162" s="90"/>
      <c r="U162">
        <v>1960</v>
      </c>
      <c r="V162" t="s">
        <v>771</v>
      </c>
      <c r="W162" t="s">
        <v>772</v>
      </c>
      <c r="Y162" t="s">
        <v>773</v>
      </c>
      <c r="Z162" t="s">
        <v>774</v>
      </c>
      <c r="AA162" s="27">
        <f t="shared" ref="AA162:AA166" si="42">AA161+2.5%</f>
        <v>0.15</v>
      </c>
      <c r="AP162" s="27">
        <f t="shared" ref="AP162:AP166" si="43">AP161+2%</f>
        <v>0.04</v>
      </c>
      <c r="AV162">
        <f t="shared" si="41"/>
        <v>1.7999999999999998</v>
      </c>
      <c r="AW162" s="27">
        <f t="shared" ref="AW162:AW166" si="44">AW161-2%</f>
        <v>-0.04</v>
      </c>
      <c r="AZ162" s="24">
        <f t="shared" ref="AZ162:AZ166" si="45">AZ161+0.3</f>
        <v>2.5999999999999996</v>
      </c>
      <c r="BB162">
        <f t="shared" ref="BB162:BB165" si="46">BB161+0.05</f>
        <v>0.3</v>
      </c>
      <c r="BD162">
        <v>1</v>
      </c>
    </row>
    <row r="163" spans="19:59">
      <c r="S163" s="89"/>
      <c r="T163" s="90"/>
      <c r="U163">
        <v>1970</v>
      </c>
      <c r="V163" t="s">
        <v>775</v>
      </c>
      <c r="W163" t="s">
        <v>776</v>
      </c>
      <c r="Y163" t="s">
        <v>777</v>
      </c>
      <c r="Z163" t="s">
        <v>778</v>
      </c>
      <c r="AA163" s="28">
        <f t="shared" si="42"/>
        <v>0.17499999999999999</v>
      </c>
      <c r="AP163" s="27">
        <f t="shared" si="43"/>
        <v>0.06</v>
      </c>
      <c r="AV163">
        <f t="shared" si="41"/>
        <v>1.6999999999999997</v>
      </c>
      <c r="AW163" s="27">
        <f t="shared" si="44"/>
        <v>-0.06</v>
      </c>
      <c r="AZ163" s="24">
        <f t="shared" si="45"/>
        <v>2.8999999999999995</v>
      </c>
      <c r="BB163">
        <f t="shared" si="46"/>
        <v>0.35</v>
      </c>
      <c r="BD163">
        <v>1</v>
      </c>
    </row>
    <row r="164" spans="19:59">
      <c r="S164" s="89"/>
      <c r="T164" s="90"/>
      <c r="U164">
        <v>1980</v>
      </c>
      <c r="V164" t="s">
        <v>779</v>
      </c>
      <c r="W164" t="s">
        <v>780</v>
      </c>
      <c r="Y164" t="s">
        <v>781</v>
      </c>
      <c r="Z164" t="s">
        <v>782</v>
      </c>
      <c r="AA164" s="27">
        <f t="shared" si="42"/>
        <v>0.19999999999999998</v>
      </c>
      <c r="AP164" s="27">
        <f t="shared" si="43"/>
        <v>0.08</v>
      </c>
      <c r="AV164">
        <f t="shared" si="41"/>
        <v>1.5999999999999996</v>
      </c>
      <c r="AW164" s="27">
        <f t="shared" si="44"/>
        <v>-0.08</v>
      </c>
      <c r="AZ164" s="24">
        <f t="shared" si="45"/>
        <v>3.1999999999999993</v>
      </c>
      <c r="BB164">
        <f t="shared" si="46"/>
        <v>0.39999999999999997</v>
      </c>
      <c r="BD164">
        <v>2</v>
      </c>
    </row>
    <row r="165" spans="19:59">
      <c r="S165" s="89"/>
      <c r="T165" s="90"/>
      <c r="U165">
        <v>2000</v>
      </c>
      <c r="V165" t="s">
        <v>783</v>
      </c>
      <c r="W165" t="s">
        <v>784</v>
      </c>
      <c r="Y165" t="s">
        <v>785</v>
      </c>
      <c r="Z165" t="s">
        <v>786</v>
      </c>
      <c r="AA165" s="28">
        <f t="shared" si="42"/>
        <v>0.22499999999999998</v>
      </c>
      <c r="AP165" s="27">
        <f t="shared" si="43"/>
        <v>0.1</v>
      </c>
      <c r="AV165">
        <f t="shared" si="41"/>
        <v>1.4999999999999996</v>
      </c>
      <c r="AW165" s="27">
        <f t="shared" si="44"/>
        <v>-0.1</v>
      </c>
      <c r="AZ165" s="24">
        <f t="shared" si="45"/>
        <v>3.4999999999999991</v>
      </c>
      <c r="BB165">
        <f t="shared" si="46"/>
        <v>0.44999999999999996</v>
      </c>
      <c r="BD165">
        <v>2</v>
      </c>
      <c r="BE165">
        <v>1</v>
      </c>
    </row>
    <row r="166" spans="19:59">
      <c r="S166" s="89"/>
      <c r="T166" s="90"/>
      <c r="U166">
        <v>2020</v>
      </c>
      <c r="V166" t="s">
        <v>787</v>
      </c>
      <c r="W166" t="s">
        <v>788</v>
      </c>
      <c r="Y166" t="s">
        <v>789</v>
      </c>
      <c r="Z166" t="s">
        <v>790</v>
      </c>
      <c r="AA166" s="27">
        <f t="shared" si="42"/>
        <v>0.24999999999999997</v>
      </c>
      <c r="AG166">
        <v>6</v>
      </c>
      <c r="AH166" s="27">
        <v>0.1</v>
      </c>
      <c r="AI166">
        <v>6</v>
      </c>
      <c r="AJ166" s="27">
        <v>0.1</v>
      </c>
      <c r="AO166">
        <v>1</v>
      </c>
      <c r="AP166" s="27">
        <f t="shared" si="43"/>
        <v>0.12000000000000001</v>
      </c>
      <c r="AV166">
        <f t="shared" si="41"/>
        <v>1.3999999999999995</v>
      </c>
      <c r="AW166" s="27">
        <f t="shared" si="44"/>
        <v>-0.12000000000000001</v>
      </c>
      <c r="AZ166" s="24">
        <f t="shared" si="45"/>
        <v>3.7999999999999989</v>
      </c>
      <c r="BA166" s="27">
        <v>0.05</v>
      </c>
      <c r="BB166">
        <f>BB165+0.35</f>
        <v>0.79999999999999993</v>
      </c>
      <c r="BD166">
        <v>2</v>
      </c>
      <c r="BE166">
        <v>3</v>
      </c>
      <c r="BF166">
        <v>1</v>
      </c>
    </row>
    <row r="167" spans="19:59">
      <c r="S167" s="89"/>
      <c r="T167" s="56"/>
    </row>
    <row r="168" spans="19:59">
      <c r="S168" s="89"/>
      <c r="T168" s="89" t="s">
        <v>791</v>
      </c>
      <c r="U168" s="15">
        <v>1939</v>
      </c>
      <c r="V168" s="15" t="s">
        <v>792</v>
      </c>
      <c r="W168" s="15" t="s">
        <v>764</v>
      </c>
      <c r="X168" s="15"/>
      <c r="Y168" s="15" t="s">
        <v>765</v>
      </c>
      <c r="Z168" s="15" t="s">
        <v>793</v>
      </c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>
        <v>1</v>
      </c>
      <c r="AP168" s="26">
        <v>0.05</v>
      </c>
      <c r="AQ168" s="15"/>
      <c r="AR168" s="15"/>
      <c r="AS168" s="15"/>
      <c r="AT168" s="15"/>
      <c r="AU168" s="15"/>
      <c r="AV168" s="15">
        <v>2.4</v>
      </c>
      <c r="AW168" s="15"/>
      <c r="AX168" s="15"/>
      <c r="AY168" s="15"/>
      <c r="AZ168" s="25">
        <v>1</v>
      </c>
      <c r="BA168" s="15"/>
      <c r="BB168" s="15">
        <v>0.2</v>
      </c>
      <c r="BC168" s="15"/>
      <c r="BD168" s="15"/>
      <c r="BE168" s="15"/>
      <c r="BF168" s="15"/>
      <c r="BG168" s="15"/>
    </row>
    <row r="169" spans="19:59">
      <c r="S169" s="89"/>
      <c r="T169" s="89"/>
      <c r="U169">
        <v>1950</v>
      </c>
      <c r="V169" t="s">
        <v>794</v>
      </c>
      <c r="W169" t="s">
        <v>768</v>
      </c>
      <c r="Y169" t="s">
        <v>769</v>
      </c>
      <c r="Z169" t="s">
        <v>795</v>
      </c>
      <c r="AA169" s="28">
        <f t="shared" ref="AA169:AA171" si="47">AA168+2.5%</f>
        <v>2.5000000000000001E-2</v>
      </c>
      <c r="AO169">
        <v>1</v>
      </c>
      <c r="AP169" s="27">
        <f t="shared" ref="AP169:AP171" si="48">AP168+2%</f>
        <v>7.0000000000000007E-2</v>
      </c>
      <c r="AV169">
        <f>AV168-0.1</f>
        <v>2.2999999999999998</v>
      </c>
      <c r="AW169" s="27">
        <f t="shared" ref="AW169:AW171" si="49">AW168-2%</f>
        <v>-0.02</v>
      </c>
      <c r="AZ169" s="24">
        <f>AZ168+0.3</f>
        <v>1.3</v>
      </c>
      <c r="BB169">
        <f>BB168+0.05</f>
        <v>0.25</v>
      </c>
    </row>
    <row r="170" spans="19:59">
      <c r="S170" s="89"/>
      <c r="T170" s="89"/>
      <c r="U170">
        <v>1960</v>
      </c>
      <c r="V170" t="s">
        <v>796</v>
      </c>
      <c r="W170" t="s">
        <v>772</v>
      </c>
      <c r="Y170" t="s">
        <v>773</v>
      </c>
      <c r="Z170" t="s">
        <v>797</v>
      </c>
      <c r="AA170" s="27">
        <f t="shared" si="47"/>
        <v>0.05</v>
      </c>
      <c r="AO170">
        <v>1</v>
      </c>
      <c r="AP170" s="27">
        <f t="shared" si="48"/>
        <v>9.0000000000000011E-2</v>
      </c>
      <c r="AV170">
        <f>AV169-0.1</f>
        <v>2.1999999999999997</v>
      </c>
      <c r="AW170" s="27">
        <f t="shared" si="49"/>
        <v>-0.04</v>
      </c>
      <c r="AZ170" s="24">
        <f t="shared" ref="AZ170:AZ171" si="50">AZ169+0.3</f>
        <v>1.6</v>
      </c>
      <c r="BB170">
        <f t="shared" ref="BB170:BB171" si="51">BB169+0.05</f>
        <v>0.3</v>
      </c>
    </row>
    <row r="171" spans="19:59">
      <c r="S171" s="89"/>
      <c r="T171" s="89"/>
      <c r="U171">
        <v>1970</v>
      </c>
      <c r="V171" t="s">
        <v>798</v>
      </c>
      <c r="W171" t="s">
        <v>776</v>
      </c>
      <c r="Y171" t="s">
        <v>777</v>
      </c>
      <c r="Z171" t="s">
        <v>799</v>
      </c>
      <c r="AA171" s="28">
        <f t="shared" si="47"/>
        <v>7.5000000000000011E-2</v>
      </c>
      <c r="AO171">
        <v>1</v>
      </c>
      <c r="AP171" s="27">
        <f t="shared" si="48"/>
        <v>0.11000000000000001</v>
      </c>
      <c r="AV171">
        <f>AV170-0.1</f>
        <v>2.0999999999999996</v>
      </c>
      <c r="AW171" s="27">
        <f t="shared" si="49"/>
        <v>-0.06</v>
      </c>
      <c r="AZ171" s="24">
        <f t="shared" si="50"/>
        <v>1.9000000000000001</v>
      </c>
      <c r="BB171">
        <f t="shared" si="51"/>
        <v>0.35</v>
      </c>
    </row>
    <row r="172" spans="19:59">
      <c r="S172" s="89"/>
      <c r="T172" s="56"/>
    </row>
    <row r="173" spans="19:59">
      <c r="S173" s="89"/>
      <c r="T173" s="91" t="s">
        <v>800</v>
      </c>
      <c r="U173" s="15">
        <v>1960</v>
      </c>
      <c r="V173" s="15" t="s">
        <v>801</v>
      </c>
      <c r="W173" s="15" t="s">
        <v>802</v>
      </c>
      <c r="X173" s="15"/>
      <c r="Y173" s="15" t="s">
        <v>803</v>
      </c>
      <c r="Z173" s="15" t="s">
        <v>804</v>
      </c>
      <c r="AA173" s="26">
        <v>-0.05</v>
      </c>
      <c r="AB173" s="15"/>
      <c r="AC173" s="15"/>
      <c r="AD173" s="15"/>
      <c r="AE173" s="15"/>
      <c r="AF173" s="15"/>
      <c r="AG173" s="15">
        <v>3</v>
      </c>
      <c r="AH173" s="15"/>
      <c r="AI173" s="15">
        <v>3</v>
      </c>
      <c r="AJ173" s="15"/>
      <c r="AK173" s="15"/>
      <c r="AL173" s="15"/>
      <c r="AM173" s="15"/>
      <c r="AN173" s="15"/>
      <c r="AO173" s="15">
        <v>2</v>
      </c>
      <c r="AP173" s="26">
        <v>0.2</v>
      </c>
      <c r="AQ173" s="15"/>
      <c r="AR173" s="15"/>
      <c r="AS173" s="15"/>
      <c r="AT173" s="15"/>
      <c r="AU173" s="15"/>
      <c r="AV173" s="15">
        <v>3.5</v>
      </c>
      <c r="AW173" s="15"/>
      <c r="AX173" s="15"/>
      <c r="AY173" s="15"/>
      <c r="AZ173" s="25">
        <v>7</v>
      </c>
      <c r="BA173" s="15"/>
      <c r="BB173" s="15">
        <v>0.3</v>
      </c>
      <c r="BC173" s="15"/>
      <c r="BD173" s="15">
        <v>2</v>
      </c>
      <c r="BE173" s="15">
        <v>1</v>
      </c>
      <c r="BF173" s="15"/>
      <c r="BG173" s="15"/>
    </row>
    <row r="174" spans="19:59">
      <c r="S174" s="89"/>
      <c r="T174" s="91"/>
      <c r="U174">
        <v>1970</v>
      </c>
      <c r="V174" t="s">
        <v>805</v>
      </c>
      <c r="W174" t="s">
        <v>806</v>
      </c>
      <c r="Y174" t="s">
        <v>807</v>
      </c>
      <c r="Z174" t="s">
        <v>808</v>
      </c>
      <c r="AA174" s="28">
        <f>AA173+7.5%</f>
        <v>2.4999999999999994E-2</v>
      </c>
      <c r="AG174">
        <f>AG173+0.5</f>
        <v>3.5</v>
      </c>
      <c r="AI174">
        <f t="shared" ref="AI174:AI176" si="52">AI173+0.5</f>
        <v>3.5</v>
      </c>
      <c r="AO174">
        <v>2</v>
      </c>
      <c r="AP174" s="27">
        <f t="shared" ref="AP174:AP176" si="53">AP173+2%</f>
        <v>0.22</v>
      </c>
      <c r="AV174">
        <f t="shared" ref="AV174:AV176" si="54">AV173-0.1</f>
        <v>3.4</v>
      </c>
      <c r="AW174" s="27">
        <f>AW173-4%</f>
        <v>-0.04</v>
      </c>
      <c r="AZ174" s="24">
        <f t="shared" ref="AZ174:AZ176" si="55">AZ173+0.3</f>
        <v>7.3</v>
      </c>
      <c r="BB174">
        <f t="shared" ref="BB174:BB176" si="56">BB173+0.05</f>
        <v>0.35</v>
      </c>
      <c r="BD174">
        <v>2</v>
      </c>
      <c r="BE174">
        <v>1</v>
      </c>
    </row>
    <row r="175" spans="19:59">
      <c r="S175" s="89"/>
      <c r="T175" s="91"/>
      <c r="U175">
        <v>1980</v>
      </c>
      <c r="V175" t="s">
        <v>809</v>
      </c>
      <c r="W175" t="s">
        <v>810</v>
      </c>
      <c r="Y175" t="s">
        <v>811</v>
      </c>
      <c r="Z175" t="s">
        <v>812</v>
      </c>
      <c r="AA175" s="27">
        <f>AA174+7.5%</f>
        <v>9.9999999999999992E-2</v>
      </c>
      <c r="AG175">
        <f t="shared" ref="AG175:AG176" si="57">AG174+0.5</f>
        <v>4</v>
      </c>
      <c r="AI175">
        <f t="shared" si="52"/>
        <v>4</v>
      </c>
      <c r="AO175">
        <v>2</v>
      </c>
      <c r="AP175" s="27">
        <f t="shared" si="53"/>
        <v>0.24</v>
      </c>
      <c r="AV175">
        <f t="shared" si="54"/>
        <v>3.3</v>
      </c>
      <c r="AW175" s="27">
        <f t="shared" ref="AW175:AW176" si="58">AW174-4%</f>
        <v>-0.08</v>
      </c>
      <c r="AZ175" s="24">
        <f t="shared" si="55"/>
        <v>7.6</v>
      </c>
      <c r="BB175">
        <f t="shared" si="56"/>
        <v>0.39999999999999997</v>
      </c>
      <c r="BD175">
        <v>2</v>
      </c>
      <c r="BE175">
        <v>1</v>
      </c>
    </row>
    <row r="176" spans="19:59">
      <c r="S176" s="89"/>
      <c r="T176" s="91"/>
      <c r="U176">
        <v>2000</v>
      </c>
      <c r="V176" t="s">
        <v>813</v>
      </c>
      <c r="W176" t="s">
        <v>814</v>
      </c>
      <c r="Y176" t="s">
        <v>815</v>
      </c>
      <c r="Z176" t="s">
        <v>816</v>
      </c>
      <c r="AA176" s="28">
        <f>AA175+7.5%</f>
        <v>0.17499999999999999</v>
      </c>
      <c r="AG176">
        <f t="shared" si="57"/>
        <v>4.5</v>
      </c>
      <c r="AI176">
        <f t="shared" si="52"/>
        <v>4.5</v>
      </c>
      <c r="AO176">
        <v>2</v>
      </c>
      <c r="AP176" s="27">
        <f t="shared" si="53"/>
        <v>0.26</v>
      </c>
      <c r="AV176">
        <f t="shared" si="54"/>
        <v>3.1999999999999997</v>
      </c>
      <c r="AW176" s="27">
        <f t="shared" si="58"/>
        <v>-0.12</v>
      </c>
      <c r="AZ176" s="24">
        <f t="shared" si="55"/>
        <v>7.8999999999999995</v>
      </c>
      <c r="BB176">
        <f t="shared" si="56"/>
        <v>0.44999999999999996</v>
      </c>
      <c r="BD176">
        <v>2</v>
      </c>
      <c r="BE176">
        <v>2</v>
      </c>
    </row>
    <row r="177" spans="19:59">
      <c r="S177" s="89"/>
      <c r="T177" s="56"/>
      <c r="AW177" s="27"/>
    </row>
    <row r="178" spans="19:59">
      <c r="S178" s="89"/>
      <c r="T178" s="91" t="s">
        <v>817</v>
      </c>
      <c r="U178" s="15">
        <v>1939</v>
      </c>
      <c r="V178" s="15" t="s">
        <v>818</v>
      </c>
      <c r="W178" s="15" t="s">
        <v>764</v>
      </c>
      <c r="X178" s="15"/>
      <c r="Y178" s="15" t="s">
        <v>765</v>
      </c>
      <c r="Z178" s="15" t="s">
        <v>819</v>
      </c>
      <c r="AA178" s="26">
        <v>0.01</v>
      </c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26">
        <v>-0.05</v>
      </c>
      <c r="AX178" s="15"/>
      <c r="AY178" s="15"/>
      <c r="AZ178" s="25">
        <v>0.25</v>
      </c>
      <c r="BA178" s="15"/>
      <c r="BB178" s="15">
        <v>0.1</v>
      </c>
      <c r="BC178" s="15"/>
      <c r="BD178" s="15"/>
      <c r="BE178" s="15"/>
      <c r="BF178" s="15"/>
      <c r="BG178" s="15"/>
    </row>
    <row r="179" spans="19:59">
      <c r="S179" s="89"/>
      <c r="T179" s="91"/>
      <c r="U179">
        <v>1950</v>
      </c>
      <c r="V179" t="s">
        <v>820</v>
      </c>
      <c r="W179" t="s">
        <v>768</v>
      </c>
      <c r="Y179" t="s">
        <v>769</v>
      </c>
      <c r="Z179" t="s">
        <v>821</v>
      </c>
      <c r="AA179" s="28">
        <f>AA178+0.5%</f>
        <v>1.4999999999999999E-2</v>
      </c>
      <c r="AW179" s="28">
        <f>AW178-2.5%</f>
        <v>-7.5000000000000011E-2</v>
      </c>
      <c r="AZ179" s="24">
        <f>AZ178+0.25</f>
        <v>0.5</v>
      </c>
      <c r="BB179">
        <f>BB178+0.05</f>
        <v>0.15000000000000002</v>
      </c>
    </row>
    <row r="180" spans="19:59">
      <c r="S180" s="89"/>
      <c r="T180" s="91"/>
      <c r="U180">
        <v>1960</v>
      </c>
      <c r="V180" t="s">
        <v>822</v>
      </c>
      <c r="W180" t="s">
        <v>772</v>
      </c>
      <c r="Y180" t="s">
        <v>773</v>
      </c>
      <c r="Z180" t="s">
        <v>823</v>
      </c>
      <c r="AA180" s="27">
        <f t="shared" ref="AA180:AA183" si="59">AA179+0.5%</f>
        <v>0.02</v>
      </c>
      <c r="AW180" s="27">
        <f t="shared" ref="AW180:AW183" si="60">AW179-2.5%</f>
        <v>-0.1</v>
      </c>
      <c r="AZ180" s="24">
        <f t="shared" ref="AZ180:AZ183" si="61">AZ179+0.25</f>
        <v>0.75</v>
      </c>
      <c r="BB180">
        <f t="shared" ref="BB180:BB184" si="62">BB179+0.05</f>
        <v>0.2</v>
      </c>
    </row>
    <row r="181" spans="19:59">
      <c r="S181" s="89"/>
      <c r="T181" s="91"/>
      <c r="U181">
        <v>1970</v>
      </c>
      <c r="V181" t="s">
        <v>824</v>
      </c>
      <c r="W181" t="s">
        <v>776</v>
      </c>
      <c r="Y181" t="s">
        <v>777</v>
      </c>
      <c r="Z181" t="s">
        <v>825</v>
      </c>
      <c r="AA181" s="28">
        <f t="shared" si="59"/>
        <v>2.5000000000000001E-2</v>
      </c>
      <c r="AW181" s="28">
        <f t="shared" si="60"/>
        <v>-0.125</v>
      </c>
      <c r="AZ181" s="24">
        <f t="shared" si="61"/>
        <v>1</v>
      </c>
      <c r="BB181">
        <f t="shared" si="62"/>
        <v>0.25</v>
      </c>
    </row>
    <row r="182" spans="19:59">
      <c r="S182" s="89"/>
      <c r="T182" s="91"/>
      <c r="U182">
        <v>1980</v>
      </c>
      <c r="V182" t="s">
        <v>826</v>
      </c>
      <c r="W182" t="s">
        <v>780</v>
      </c>
      <c r="Y182" t="s">
        <v>781</v>
      </c>
      <c r="Z182" t="s">
        <v>827</v>
      </c>
      <c r="AA182" s="27">
        <f t="shared" si="59"/>
        <v>3.0000000000000002E-2</v>
      </c>
      <c r="AG182">
        <v>1</v>
      </c>
      <c r="AI182">
        <v>2</v>
      </c>
      <c r="AW182" s="27">
        <f t="shared" si="60"/>
        <v>-0.15</v>
      </c>
      <c r="AZ182" s="24">
        <f t="shared" si="61"/>
        <v>1.25</v>
      </c>
      <c r="BB182">
        <f t="shared" si="62"/>
        <v>0.3</v>
      </c>
    </row>
    <row r="183" spans="19:59">
      <c r="S183" s="89"/>
      <c r="T183" s="91"/>
      <c r="U183">
        <v>2000</v>
      </c>
      <c r="V183" t="s">
        <v>828</v>
      </c>
      <c r="W183" t="s">
        <v>784</v>
      </c>
      <c r="Y183" t="s">
        <v>785</v>
      </c>
      <c r="Z183" t="s">
        <v>829</v>
      </c>
      <c r="AA183" s="28">
        <f t="shared" si="59"/>
        <v>3.5000000000000003E-2</v>
      </c>
      <c r="AG183">
        <f>AG182+1</f>
        <v>2</v>
      </c>
      <c r="AI183">
        <f>AI182+1</f>
        <v>3</v>
      </c>
      <c r="AW183" s="28">
        <f t="shared" si="60"/>
        <v>-0.17499999999999999</v>
      </c>
      <c r="AZ183" s="24">
        <f t="shared" si="61"/>
        <v>1.5</v>
      </c>
      <c r="BB183">
        <f t="shared" si="62"/>
        <v>0.35</v>
      </c>
    </row>
    <row r="184" spans="19:59">
      <c r="S184" s="89"/>
      <c r="T184" s="91"/>
      <c r="U184">
        <v>2020</v>
      </c>
      <c r="V184" t="s">
        <v>830</v>
      </c>
      <c r="W184" t="s">
        <v>788</v>
      </c>
      <c r="Y184" t="s">
        <v>789</v>
      </c>
      <c r="Z184" t="s">
        <v>831</v>
      </c>
      <c r="AA184" s="27">
        <f>AA183+2.5%</f>
        <v>6.0000000000000005E-2</v>
      </c>
      <c r="AG184">
        <v>4</v>
      </c>
      <c r="AI184">
        <v>4</v>
      </c>
      <c r="AW184" s="27">
        <f>AW183-12.5%</f>
        <v>-0.3</v>
      </c>
      <c r="AZ184" s="24">
        <v>4</v>
      </c>
      <c r="BB184">
        <f t="shared" si="62"/>
        <v>0.39999999999999997</v>
      </c>
      <c r="BE184">
        <v>1</v>
      </c>
      <c r="BF184">
        <v>1</v>
      </c>
    </row>
    <row r="185" spans="19:59">
      <c r="S185" s="89"/>
      <c r="T185" s="56"/>
    </row>
    <row r="186" spans="19:59">
      <c r="S186" s="89"/>
      <c r="T186" s="91" t="s">
        <v>832</v>
      </c>
      <c r="U186" s="15">
        <v>1960</v>
      </c>
      <c r="V186" s="15" t="s">
        <v>833</v>
      </c>
      <c r="W186" s="15" t="s">
        <v>802</v>
      </c>
      <c r="X186" s="15"/>
      <c r="Y186" s="15" t="s">
        <v>803</v>
      </c>
      <c r="Z186" s="15" t="s">
        <v>834</v>
      </c>
      <c r="AA186" s="26">
        <v>0.03</v>
      </c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26">
        <v>-0.2</v>
      </c>
      <c r="AX186" s="15"/>
      <c r="AY186" s="15"/>
      <c r="AZ186" s="25">
        <v>1.5</v>
      </c>
      <c r="BA186" s="15"/>
      <c r="BB186" s="15">
        <v>0.2</v>
      </c>
      <c r="BC186" s="15"/>
      <c r="BD186" s="15"/>
      <c r="BE186" s="15"/>
      <c r="BF186" s="15"/>
      <c r="BG186" s="15"/>
    </row>
    <row r="187" spans="19:59">
      <c r="S187" s="89"/>
      <c r="T187" s="91"/>
      <c r="U187">
        <v>1970</v>
      </c>
      <c r="V187" t="s">
        <v>835</v>
      </c>
      <c r="W187" t="s">
        <v>806</v>
      </c>
      <c r="Y187" t="s">
        <v>807</v>
      </c>
      <c r="Z187" t="s">
        <v>836</v>
      </c>
      <c r="AA187" s="28">
        <f>AA186+0.5%</f>
        <v>3.4999999999999996E-2</v>
      </c>
      <c r="AW187" s="28">
        <f t="shared" ref="AW187:AW189" si="63">AW186-2.5%</f>
        <v>-0.22500000000000001</v>
      </c>
      <c r="AZ187" s="24">
        <f>AZ186+0.5</f>
        <v>2</v>
      </c>
      <c r="BB187">
        <f t="shared" ref="BB187:BB189" si="64">BB186+0.05</f>
        <v>0.25</v>
      </c>
    </row>
    <row r="188" spans="19:59">
      <c r="S188" s="89"/>
      <c r="T188" s="91"/>
      <c r="U188">
        <v>1980</v>
      </c>
      <c r="V188" t="s">
        <v>837</v>
      </c>
      <c r="W188" t="s">
        <v>810</v>
      </c>
      <c r="Y188" t="s">
        <v>811</v>
      </c>
      <c r="Z188" t="s">
        <v>838</v>
      </c>
      <c r="AA188" s="27">
        <f>AA187+0.5%</f>
        <v>3.9999999999999994E-2</v>
      </c>
      <c r="AG188">
        <v>2</v>
      </c>
      <c r="AI188">
        <v>1</v>
      </c>
      <c r="AW188" s="28">
        <f t="shared" si="63"/>
        <v>-0.25</v>
      </c>
      <c r="AZ188" s="24">
        <f t="shared" ref="AZ188:AZ189" si="65">AZ187+0.5</f>
        <v>2.5</v>
      </c>
      <c r="BB188">
        <f t="shared" si="64"/>
        <v>0.3</v>
      </c>
    </row>
    <row r="189" spans="19:59">
      <c r="S189" s="89"/>
      <c r="T189" s="91"/>
      <c r="U189">
        <v>2000</v>
      </c>
      <c r="V189" t="s">
        <v>839</v>
      </c>
      <c r="W189" t="s">
        <v>814</v>
      </c>
      <c r="Y189" t="s">
        <v>815</v>
      </c>
      <c r="Z189" t="s">
        <v>840</v>
      </c>
      <c r="AA189" s="28">
        <f>AA188+0.5%</f>
        <v>4.4999999999999991E-2</v>
      </c>
      <c r="AG189">
        <f>AG188+1</f>
        <v>3</v>
      </c>
      <c r="AI189">
        <f>AI188+1</f>
        <v>2</v>
      </c>
      <c r="AW189" s="28">
        <f t="shared" si="63"/>
        <v>-0.27500000000000002</v>
      </c>
      <c r="AZ189" s="24">
        <f t="shared" si="65"/>
        <v>3</v>
      </c>
      <c r="BB189">
        <f t="shared" si="64"/>
        <v>0.35</v>
      </c>
    </row>
    <row r="190" spans="19:59">
      <c r="S190" s="89"/>
      <c r="T190" s="56"/>
    </row>
    <row r="191" spans="19:59">
      <c r="S191" s="89"/>
      <c r="T191" s="91" t="s">
        <v>841</v>
      </c>
      <c r="U191" s="15">
        <v>1939</v>
      </c>
      <c r="V191" s="15" t="s">
        <v>842</v>
      </c>
      <c r="W191" s="15" t="s">
        <v>525</v>
      </c>
      <c r="X191" s="15"/>
      <c r="Y191" s="15" t="s">
        <v>525</v>
      </c>
      <c r="Z191" s="15" t="s">
        <v>843</v>
      </c>
      <c r="AA191" s="15"/>
      <c r="AB191" s="26">
        <v>-0.3</v>
      </c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26">
        <v>-0.05</v>
      </c>
      <c r="AQ191" s="15"/>
      <c r="AR191" s="15"/>
      <c r="AS191" s="15"/>
      <c r="AT191" s="15"/>
      <c r="AU191" s="15"/>
      <c r="AV191" s="15"/>
      <c r="AW191" s="26">
        <v>0.1</v>
      </c>
      <c r="AX191" s="15"/>
      <c r="AY191" s="15"/>
      <c r="AZ191" s="25">
        <v>-0.5</v>
      </c>
      <c r="BA191" s="26">
        <v>-0.1</v>
      </c>
      <c r="BB191">
        <v>0.1</v>
      </c>
      <c r="BD191" s="15"/>
      <c r="BE191" s="15"/>
      <c r="BF191" s="15"/>
      <c r="BG191" s="15"/>
    </row>
    <row r="192" spans="19:59">
      <c r="S192" s="89"/>
      <c r="T192" s="91"/>
      <c r="U192">
        <v>1939</v>
      </c>
      <c r="V192" t="s">
        <v>844</v>
      </c>
      <c r="W192" t="s">
        <v>525</v>
      </c>
      <c r="Y192" t="s">
        <v>525</v>
      </c>
      <c r="Z192" t="s">
        <v>845</v>
      </c>
      <c r="AB192" s="27">
        <f>AB191+10%</f>
        <v>-0.19999999999999998</v>
      </c>
      <c r="AG192">
        <v>0.5</v>
      </c>
      <c r="AI192">
        <v>0.5</v>
      </c>
      <c r="AP192" s="27">
        <v>0.05</v>
      </c>
      <c r="AW192" s="27">
        <f>AW191-5%</f>
        <v>0.05</v>
      </c>
      <c r="AZ192" s="24"/>
      <c r="BB192">
        <v>0.15</v>
      </c>
    </row>
    <row r="193" spans="19:59">
      <c r="S193" s="89"/>
      <c r="T193" s="91"/>
      <c r="U193">
        <v>1939</v>
      </c>
      <c r="V193" t="s">
        <v>846</v>
      </c>
      <c r="W193" t="s">
        <v>525</v>
      </c>
      <c r="Y193" t="s">
        <v>525</v>
      </c>
      <c r="Z193" t="s">
        <v>847</v>
      </c>
      <c r="AB193" s="27">
        <f>AB192+10%</f>
        <v>-9.9999999999999978E-2</v>
      </c>
      <c r="AG193">
        <v>1</v>
      </c>
      <c r="AI193">
        <v>1</v>
      </c>
      <c r="AP193" s="27">
        <v>0.15</v>
      </c>
      <c r="AZ193" s="24">
        <f>AZ192+0.5</f>
        <v>0.5</v>
      </c>
      <c r="BB193">
        <v>0.2</v>
      </c>
    </row>
    <row r="194" spans="19:59">
      <c r="S194" s="89"/>
      <c r="T194" s="91"/>
      <c r="U194">
        <v>1939</v>
      </c>
      <c r="V194" t="s">
        <v>848</v>
      </c>
      <c r="W194" t="s">
        <v>525</v>
      </c>
      <c r="Y194" t="s">
        <v>525</v>
      </c>
      <c r="Z194" t="s">
        <v>849</v>
      </c>
      <c r="AA194" s="27">
        <v>-0.1</v>
      </c>
      <c r="AB194" s="27">
        <f>AB191+10%</f>
        <v>-0.19999999999999998</v>
      </c>
      <c r="AG194">
        <v>1</v>
      </c>
      <c r="AP194" s="27">
        <v>-0.05</v>
      </c>
      <c r="AW194" s="27">
        <f>AW191-5%</f>
        <v>0.05</v>
      </c>
      <c r="AZ194" s="24">
        <f>AZ191+1.1</f>
        <v>0.60000000000000009</v>
      </c>
      <c r="BB194">
        <v>0.2</v>
      </c>
    </row>
    <row r="195" spans="19:59">
      <c r="S195" s="89"/>
      <c r="T195" s="91"/>
      <c r="U195">
        <v>1939</v>
      </c>
      <c r="V195" t="s">
        <v>850</v>
      </c>
      <c r="W195" t="s">
        <v>525</v>
      </c>
      <c r="Y195" t="s">
        <v>525</v>
      </c>
      <c r="Z195" t="s">
        <v>851</v>
      </c>
      <c r="AA195" s="27"/>
      <c r="AG195">
        <v>1</v>
      </c>
      <c r="AI195">
        <v>2</v>
      </c>
      <c r="AP195" s="27">
        <v>-0.15</v>
      </c>
      <c r="AW195" s="28">
        <f>AW191-2.5%</f>
        <v>7.5000000000000011E-2</v>
      </c>
      <c r="AZ195" s="24">
        <f>AZ191+1.2</f>
        <v>0.7</v>
      </c>
      <c r="BB195">
        <v>0.2</v>
      </c>
      <c r="BD195">
        <v>1</v>
      </c>
    </row>
    <row r="196" spans="19:59">
      <c r="S196" s="89"/>
      <c r="T196" s="91"/>
      <c r="U196">
        <v>1939</v>
      </c>
      <c r="V196" t="s">
        <v>852</v>
      </c>
      <c r="W196" t="s">
        <v>525</v>
      </c>
      <c r="Y196" t="s">
        <v>525</v>
      </c>
      <c r="Z196" t="s">
        <v>853</v>
      </c>
      <c r="AA196" s="28">
        <v>-7.4999999999999997E-2</v>
      </c>
      <c r="AG196">
        <v>3</v>
      </c>
      <c r="AI196">
        <v>1</v>
      </c>
      <c r="AP196" s="27">
        <v>0.1</v>
      </c>
      <c r="AZ196" s="24">
        <f>AZ191+1.5</f>
        <v>1</v>
      </c>
      <c r="BB196">
        <v>1</v>
      </c>
      <c r="BD196">
        <v>1</v>
      </c>
    </row>
    <row r="197" spans="19:59">
      <c r="S197" s="89"/>
      <c r="T197" s="91"/>
      <c r="U197">
        <v>1939</v>
      </c>
      <c r="V197" t="s">
        <v>854</v>
      </c>
      <c r="W197" t="s">
        <v>525</v>
      </c>
      <c r="Y197" t="s">
        <v>525</v>
      </c>
      <c r="Z197" t="s">
        <v>855</v>
      </c>
      <c r="AA197" s="27">
        <v>0.05</v>
      </c>
      <c r="AG197">
        <v>2</v>
      </c>
      <c r="AI197">
        <v>3</v>
      </c>
      <c r="AP197" s="28">
        <v>-7.4999999999999997E-2</v>
      </c>
      <c r="AW197" s="27">
        <f>AW194</f>
        <v>0.05</v>
      </c>
      <c r="AZ197" s="24">
        <f>AZ191+1.5</f>
        <v>1</v>
      </c>
      <c r="BB197">
        <v>0.2</v>
      </c>
      <c r="BD197">
        <v>1</v>
      </c>
    </row>
    <row r="198" spans="19:59">
      <c r="S198" s="89"/>
      <c r="T198" s="91"/>
      <c r="U198">
        <v>1939</v>
      </c>
      <c r="V198" t="s">
        <v>856</v>
      </c>
      <c r="W198" t="s">
        <v>525</v>
      </c>
      <c r="Y198" t="s">
        <v>525</v>
      </c>
      <c r="Z198" t="s">
        <v>857</v>
      </c>
      <c r="AA198" s="27">
        <v>0.1</v>
      </c>
      <c r="AG198">
        <v>3</v>
      </c>
      <c r="AI198">
        <v>3</v>
      </c>
      <c r="AZ198" s="24">
        <f>AZ191+2</f>
        <v>1.5</v>
      </c>
      <c r="BB198">
        <v>0.5</v>
      </c>
      <c r="BD198">
        <v>2</v>
      </c>
    </row>
    <row r="199" spans="19:59">
      <c r="S199" s="89"/>
      <c r="T199" s="56"/>
    </row>
    <row r="200" spans="19:59">
      <c r="S200" s="89"/>
      <c r="T200" s="91" t="s">
        <v>858</v>
      </c>
      <c r="U200" s="15">
        <v>1942</v>
      </c>
      <c r="V200" s="15" t="s">
        <v>859</v>
      </c>
      <c r="W200" s="15" t="s">
        <v>860</v>
      </c>
      <c r="X200" s="15"/>
      <c r="Y200" s="15" t="s">
        <v>860</v>
      </c>
      <c r="Z200" s="15" t="s">
        <v>861</v>
      </c>
      <c r="AA200" s="39">
        <f>AA195+2.5%</f>
        <v>2.5000000000000001E-2</v>
      </c>
      <c r="AB200" s="15"/>
      <c r="AC200" s="15"/>
      <c r="AD200" s="15"/>
      <c r="AE200" s="15"/>
      <c r="AF200" s="15"/>
      <c r="AG200" s="15">
        <f>AG195+0.5</f>
        <v>1.5</v>
      </c>
      <c r="AH200" s="15"/>
      <c r="AI200" s="15">
        <f>AI195+0.5</f>
        <v>2.5</v>
      </c>
      <c r="AJ200" s="15"/>
      <c r="AK200" s="15"/>
      <c r="AL200" s="15"/>
      <c r="AM200" s="15"/>
      <c r="AN200" s="15"/>
      <c r="AO200" s="15"/>
      <c r="AP200" s="39">
        <f>AP195+2.5%</f>
        <v>-0.125</v>
      </c>
      <c r="AQ200" s="15"/>
      <c r="AR200" s="15"/>
      <c r="AS200" s="15"/>
      <c r="AT200" s="15"/>
      <c r="AU200" s="15"/>
      <c r="AV200" s="15"/>
      <c r="AW200" s="39">
        <f>AW195</f>
        <v>7.5000000000000011E-2</v>
      </c>
      <c r="AX200" s="15"/>
      <c r="AY200" s="15"/>
      <c r="AZ200" s="25">
        <f>AZ195+0.3</f>
        <v>1</v>
      </c>
      <c r="BA200" s="15"/>
      <c r="BB200" s="15">
        <f>BB195+0.1</f>
        <v>0.30000000000000004</v>
      </c>
      <c r="BC200" s="15"/>
      <c r="BD200" s="15">
        <v>1</v>
      </c>
      <c r="BE200" s="15"/>
      <c r="BF200" s="15"/>
      <c r="BG200" s="15"/>
    </row>
    <row r="201" spans="19:59">
      <c r="S201" s="89"/>
      <c r="T201" s="91"/>
      <c r="U201">
        <v>1942</v>
      </c>
      <c r="V201" t="s">
        <v>862</v>
      </c>
      <c r="W201" t="s">
        <v>860</v>
      </c>
      <c r="Y201" t="s">
        <v>860</v>
      </c>
      <c r="Z201" t="s">
        <v>863</v>
      </c>
      <c r="AA201" s="27">
        <f>AA196+2.5%</f>
        <v>-4.9999999999999996E-2</v>
      </c>
      <c r="AG201">
        <f>AG196+0.5</f>
        <v>3.5</v>
      </c>
      <c r="AI201">
        <f>AI196+0.5</f>
        <v>1.5</v>
      </c>
      <c r="AP201" s="28">
        <f>AP196+2.5%</f>
        <v>0.125</v>
      </c>
      <c r="AZ201" s="24">
        <f>AZ196+0.3</f>
        <v>1.3</v>
      </c>
      <c r="BB201">
        <f>BB196+0.1</f>
        <v>1.1000000000000001</v>
      </c>
      <c r="BD201">
        <v>1</v>
      </c>
    </row>
    <row r="202" spans="19:59">
      <c r="S202" s="89"/>
      <c r="T202" s="91"/>
      <c r="U202">
        <v>1942</v>
      </c>
      <c r="V202" t="s">
        <v>864</v>
      </c>
      <c r="W202" t="s">
        <v>860</v>
      </c>
      <c r="Y202" t="s">
        <v>860</v>
      </c>
      <c r="Z202" t="s">
        <v>865</v>
      </c>
      <c r="AA202" s="28">
        <f>AA197+2.5%</f>
        <v>7.5000000000000011E-2</v>
      </c>
      <c r="AG202">
        <f>AG197+0.5</f>
        <v>2.5</v>
      </c>
      <c r="AI202">
        <f>AI197+0.5</f>
        <v>3.5</v>
      </c>
      <c r="AP202" s="27">
        <f>AP197+2.5%</f>
        <v>-4.9999999999999996E-2</v>
      </c>
      <c r="AW202" s="27">
        <f>AW197</f>
        <v>0.05</v>
      </c>
      <c r="AZ202" s="24">
        <f>AZ197+0.3</f>
        <v>1.3</v>
      </c>
      <c r="BB202">
        <f>BB197+0.1</f>
        <v>0.30000000000000004</v>
      </c>
      <c r="BD202">
        <v>1</v>
      </c>
    </row>
    <row r="203" spans="19:59">
      <c r="S203" s="89"/>
      <c r="T203" s="91"/>
      <c r="U203">
        <v>1942</v>
      </c>
      <c r="V203" t="s">
        <v>866</v>
      </c>
      <c r="W203" t="s">
        <v>860</v>
      </c>
      <c r="Y203" t="s">
        <v>860</v>
      </c>
      <c r="Z203" t="s">
        <v>867</v>
      </c>
      <c r="AA203" s="28">
        <f>AA198+2.5%</f>
        <v>0.125</v>
      </c>
      <c r="AG203">
        <f>AG198+0.5</f>
        <v>3.5</v>
      </c>
      <c r="AI203">
        <f>AI198+0.5</f>
        <v>3.5</v>
      </c>
      <c r="AP203" s="28">
        <f>AP198+2.5%</f>
        <v>2.5000000000000001E-2</v>
      </c>
      <c r="AZ203" s="24">
        <f>AZ198+0.3</f>
        <v>1.8</v>
      </c>
      <c r="BB203">
        <f>BB198+0.1</f>
        <v>0.6</v>
      </c>
      <c r="BD203">
        <v>1</v>
      </c>
    </row>
    <row r="204" spans="19:59">
      <c r="S204" s="89"/>
      <c r="T204" s="91"/>
      <c r="U204">
        <v>1942</v>
      </c>
      <c r="V204" t="s">
        <v>868</v>
      </c>
      <c r="W204" t="s">
        <v>860</v>
      </c>
      <c r="Y204" t="s">
        <v>860</v>
      </c>
      <c r="Z204" t="s">
        <v>869</v>
      </c>
      <c r="AA204" s="28">
        <v>7.4999999999999997E-2</v>
      </c>
      <c r="AG204">
        <v>5</v>
      </c>
      <c r="AI204">
        <v>5</v>
      </c>
      <c r="AP204" s="27">
        <v>0.05</v>
      </c>
      <c r="AY204" s="27">
        <v>0.05</v>
      </c>
      <c r="AZ204" s="24">
        <v>3.5</v>
      </c>
      <c r="BB204">
        <v>0.5</v>
      </c>
      <c r="BD204">
        <v>1</v>
      </c>
      <c r="BE204">
        <v>1</v>
      </c>
    </row>
    <row r="205" spans="19:59">
      <c r="S205" s="89"/>
      <c r="T205" s="91"/>
      <c r="U205">
        <v>1960</v>
      </c>
      <c r="V205" t="s">
        <v>870</v>
      </c>
      <c r="W205" t="s">
        <v>871</v>
      </c>
      <c r="Y205" t="s">
        <v>871</v>
      </c>
      <c r="Z205" t="s">
        <v>872</v>
      </c>
      <c r="AA205" s="28">
        <f>AA204</f>
        <v>7.4999999999999997E-2</v>
      </c>
      <c r="AG205">
        <v>7</v>
      </c>
      <c r="AH205" s="27">
        <v>0.05</v>
      </c>
      <c r="AI205">
        <v>7</v>
      </c>
      <c r="AJ205" s="27">
        <v>0.05</v>
      </c>
      <c r="AP205" s="27">
        <v>0.05</v>
      </c>
      <c r="AV205">
        <v>0.2</v>
      </c>
      <c r="AY205" s="28">
        <f>AY204+2.5%</f>
        <v>7.5000000000000011E-2</v>
      </c>
      <c r="AZ205" s="24">
        <f>AZ204+1</f>
        <v>4.5</v>
      </c>
      <c r="BB205">
        <f>BB204+0.2</f>
        <v>0.7</v>
      </c>
      <c r="BD205">
        <v>1</v>
      </c>
      <c r="BE205">
        <v>1</v>
      </c>
    </row>
    <row r="206" spans="19:59">
      <c r="S206" s="89"/>
      <c r="T206" s="91"/>
      <c r="U206">
        <v>2010</v>
      </c>
      <c r="V206" t="s">
        <v>873</v>
      </c>
      <c r="W206" t="s">
        <v>874</v>
      </c>
      <c r="Y206" t="s">
        <v>874</v>
      </c>
      <c r="Z206" t="s">
        <v>875</v>
      </c>
      <c r="AA206" s="28">
        <f>AA205</f>
        <v>7.4999999999999997E-2</v>
      </c>
      <c r="AG206">
        <v>9</v>
      </c>
      <c r="AH206" s="28">
        <f>AH205+2.5%</f>
        <v>7.5000000000000011E-2</v>
      </c>
      <c r="AI206">
        <v>9</v>
      </c>
      <c r="AJ206" s="28">
        <f>AJ205+2.5%</f>
        <v>7.5000000000000011E-2</v>
      </c>
      <c r="AP206" s="27">
        <v>0.15</v>
      </c>
      <c r="AV206">
        <v>0.4</v>
      </c>
      <c r="AW206" s="27">
        <v>-0.05</v>
      </c>
      <c r="AY206" s="27">
        <f>AY205+2.5%</f>
        <v>0.1</v>
      </c>
      <c r="AZ206" s="24">
        <f>AZ205+2</f>
        <v>6.5</v>
      </c>
      <c r="BB206">
        <f>BB205+0.2</f>
        <v>0.89999999999999991</v>
      </c>
      <c r="BD206">
        <v>1</v>
      </c>
      <c r="BE206">
        <v>1</v>
      </c>
      <c r="BF206">
        <v>1</v>
      </c>
    </row>
    <row r="207" spans="19:59">
      <c r="S207" s="55"/>
    </row>
    <row r="208" spans="19:59">
      <c r="S208" s="55"/>
    </row>
    <row r="209" spans="19:59">
      <c r="S209" s="77" t="s">
        <v>471</v>
      </c>
      <c r="T209" s="77" t="s">
        <v>2</v>
      </c>
      <c r="U209" s="77" t="s">
        <v>3</v>
      </c>
      <c r="V209" s="77" t="s">
        <v>472</v>
      </c>
      <c r="W209" s="77" t="s">
        <v>473</v>
      </c>
      <c r="X209" s="86" t="s">
        <v>240</v>
      </c>
      <c r="Y209" s="87"/>
      <c r="Z209" s="77" t="s">
        <v>474</v>
      </c>
      <c r="AA209" s="79" t="s">
        <v>121</v>
      </c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  <c r="AZ209" s="80"/>
      <c r="BA209" s="80"/>
      <c r="BB209" s="81"/>
      <c r="BC209" s="82" t="s">
        <v>241</v>
      </c>
      <c r="BD209" s="83"/>
      <c r="BE209" s="83"/>
      <c r="BF209" s="83"/>
      <c r="BG209" s="84"/>
    </row>
    <row r="210" spans="19:59">
      <c r="S210" s="78"/>
      <c r="T210" s="78"/>
      <c r="U210" s="78"/>
      <c r="V210" s="78"/>
      <c r="W210" s="78"/>
      <c r="X210" s="68" t="s">
        <v>477</v>
      </c>
      <c r="Y210" s="68" t="s">
        <v>243</v>
      </c>
      <c r="Z210" s="78"/>
      <c r="AA210" s="46" t="s">
        <v>244</v>
      </c>
      <c r="AB210" s="46" t="s">
        <v>245</v>
      </c>
      <c r="AC210" s="46" t="s">
        <v>124</v>
      </c>
      <c r="AD210" s="46" t="s">
        <v>246</v>
      </c>
      <c r="AE210" s="46" t="s">
        <v>125</v>
      </c>
      <c r="AF210" s="46" t="s">
        <v>247</v>
      </c>
      <c r="AG210" s="46" t="s">
        <v>248</v>
      </c>
      <c r="AH210" s="46" t="s">
        <v>249</v>
      </c>
      <c r="AI210" s="46" t="s">
        <v>250</v>
      </c>
      <c r="AJ210" s="46" t="s">
        <v>251</v>
      </c>
      <c r="AK210" s="46" t="s">
        <v>8</v>
      </c>
      <c r="AL210" s="46" t="s">
        <v>253</v>
      </c>
      <c r="AM210" s="46" t="s">
        <v>126</v>
      </c>
      <c r="AN210" s="46" t="s">
        <v>478</v>
      </c>
      <c r="AO210" s="46" t="s">
        <v>127</v>
      </c>
      <c r="AP210" s="46" t="s">
        <v>252</v>
      </c>
      <c r="AQ210" s="46" t="s">
        <v>112</v>
      </c>
      <c r="AR210" s="46" t="s">
        <v>343</v>
      </c>
      <c r="AS210" s="53" t="s">
        <v>479</v>
      </c>
      <c r="AT210" s="46" t="s">
        <v>254</v>
      </c>
      <c r="AU210" s="46" t="s">
        <v>255</v>
      </c>
      <c r="AV210" s="46" t="s">
        <v>256</v>
      </c>
      <c r="AW210" s="46" t="s">
        <v>257</v>
      </c>
      <c r="AX210" s="46" t="s">
        <v>480</v>
      </c>
      <c r="AY210" s="46" t="s">
        <v>481</v>
      </c>
      <c r="AZ210" s="47" t="s">
        <v>9</v>
      </c>
      <c r="BA210" s="46" t="s">
        <v>258</v>
      </c>
      <c r="BB210" s="46" t="s">
        <v>259</v>
      </c>
      <c r="BC210" s="46" t="s">
        <v>260</v>
      </c>
      <c r="BD210" s="46" t="s">
        <v>261</v>
      </c>
      <c r="BE210" s="46" t="s">
        <v>262</v>
      </c>
      <c r="BF210" s="46" t="s">
        <v>263</v>
      </c>
      <c r="BG210" s="46" t="s">
        <v>264</v>
      </c>
    </row>
    <row r="211" spans="19:59">
      <c r="S211" s="88" t="s">
        <v>128</v>
      </c>
      <c r="T211" s="85" t="s">
        <v>876</v>
      </c>
      <c r="U211">
        <v>1939</v>
      </c>
      <c r="V211" t="s">
        <v>132</v>
      </c>
      <c r="W211" t="s">
        <v>132</v>
      </c>
      <c r="Y211" t="s">
        <v>877</v>
      </c>
      <c r="Z211" t="s">
        <v>130</v>
      </c>
      <c r="AA211" s="10">
        <v>-0.05</v>
      </c>
      <c r="AD211" s="27">
        <v>-0.55000000000000004</v>
      </c>
      <c r="AF211" s="27">
        <v>-0.55000000000000004</v>
      </c>
      <c r="AN211" s="27">
        <v>-0.8</v>
      </c>
      <c r="AO211">
        <v>-0.2</v>
      </c>
      <c r="AZ211" s="24">
        <v>1.5</v>
      </c>
      <c r="BB211">
        <v>0.2</v>
      </c>
      <c r="BD211">
        <v>1</v>
      </c>
    </row>
    <row r="212" spans="19:59">
      <c r="S212" s="89"/>
      <c r="T212" s="71"/>
      <c r="U212">
        <v>1942</v>
      </c>
      <c r="V212" t="s">
        <v>137</v>
      </c>
      <c r="W212" t="s">
        <v>137</v>
      </c>
      <c r="Y212" t="s">
        <v>878</v>
      </c>
      <c r="Z212" t="s">
        <v>135</v>
      </c>
      <c r="AA212" s="10">
        <v>-0.1</v>
      </c>
      <c r="AD212" s="27">
        <f>AD211+10%</f>
        <v>-0.45000000000000007</v>
      </c>
      <c r="AF212" s="27">
        <f>AF211+10%</f>
        <v>-0.45000000000000007</v>
      </c>
      <c r="AN212" s="27">
        <v>-0.6</v>
      </c>
      <c r="AO212">
        <v>-0.3</v>
      </c>
      <c r="AZ212" s="24">
        <f>AZ211+0.3</f>
        <v>1.8</v>
      </c>
      <c r="BB212">
        <v>0.2</v>
      </c>
      <c r="BD212">
        <v>1</v>
      </c>
    </row>
    <row r="213" spans="19:59">
      <c r="S213" s="89"/>
      <c r="T213" s="71"/>
      <c r="U213">
        <v>1944</v>
      </c>
      <c r="V213" t="s">
        <v>141</v>
      </c>
      <c r="W213" t="s">
        <v>141</v>
      </c>
      <c r="Y213" t="s">
        <v>879</v>
      </c>
      <c r="Z213" t="s">
        <v>139</v>
      </c>
      <c r="AA213" s="10">
        <v>-0.15</v>
      </c>
      <c r="AD213" s="27">
        <f>AD212+10%</f>
        <v>-0.35000000000000009</v>
      </c>
      <c r="AF213" s="27">
        <f>AF212+10%</f>
        <v>-0.35000000000000009</v>
      </c>
      <c r="AN213" s="27">
        <v>-0.4</v>
      </c>
      <c r="AO213">
        <v>-0.3</v>
      </c>
      <c r="AZ213" s="24">
        <f t="shared" ref="AZ213:AZ220" si="66">AZ212+0.3</f>
        <v>2.1</v>
      </c>
      <c r="BB213">
        <v>0.2</v>
      </c>
      <c r="BD213">
        <v>1</v>
      </c>
    </row>
    <row r="214" spans="19:59">
      <c r="S214" s="89"/>
      <c r="T214" s="71"/>
      <c r="U214">
        <v>1950</v>
      </c>
      <c r="V214" t="s">
        <v>145</v>
      </c>
      <c r="W214" t="s">
        <v>145</v>
      </c>
      <c r="Y214" t="s">
        <v>880</v>
      </c>
      <c r="Z214" t="s">
        <v>143</v>
      </c>
      <c r="AA214" s="10">
        <v>-0.15</v>
      </c>
      <c r="AD214" s="27">
        <f>AD213+10%</f>
        <v>-0.25000000000000011</v>
      </c>
      <c r="AF214" s="27">
        <f>AF213+10%</f>
        <v>-0.25000000000000011</v>
      </c>
      <c r="AN214" s="27">
        <v>-0.2</v>
      </c>
      <c r="AO214">
        <v>-0.3</v>
      </c>
      <c r="AZ214" s="24">
        <f t="shared" si="66"/>
        <v>2.4</v>
      </c>
      <c r="BB214">
        <v>0.2</v>
      </c>
      <c r="BD214">
        <v>1</v>
      </c>
    </row>
    <row r="215" spans="19:59">
      <c r="S215" s="89"/>
      <c r="T215" s="71"/>
      <c r="U215">
        <v>1960</v>
      </c>
      <c r="V215" t="s">
        <v>149</v>
      </c>
      <c r="W215" t="s">
        <v>149</v>
      </c>
      <c r="Y215" t="s">
        <v>881</v>
      </c>
      <c r="Z215" t="s">
        <v>147</v>
      </c>
      <c r="AA215" s="10">
        <v>-0.2</v>
      </c>
      <c r="AD215" s="27">
        <f>AD214+5%</f>
        <v>-0.20000000000000012</v>
      </c>
      <c r="AF215" s="27">
        <f>AF214+5%</f>
        <v>-0.20000000000000012</v>
      </c>
      <c r="AN215" s="28">
        <v>-0.185</v>
      </c>
      <c r="AO215">
        <v>-0.4</v>
      </c>
      <c r="AZ215" s="24">
        <f t="shared" si="66"/>
        <v>2.6999999999999997</v>
      </c>
      <c r="BB215">
        <v>0.2</v>
      </c>
      <c r="BD215">
        <v>2</v>
      </c>
    </row>
    <row r="216" spans="19:59">
      <c r="S216" s="89"/>
      <c r="T216" s="71"/>
      <c r="U216">
        <v>1970</v>
      </c>
      <c r="V216" t="s">
        <v>155</v>
      </c>
      <c r="W216" t="s">
        <v>155</v>
      </c>
      <c r="Y216" t="s">
        <v>882</v>
      </c>
      <c r="Z216" t="s">
        <v>153</v>
      </c>
      <c r="AA216" s="10">
        <v>-0.2</v>
      </c>
      <c r="AD216" s="27">
        <f t="shared" ref="AD216:AF220" si="67">AD215+5%</f>
        <v>-0.15000000000000013</v>
      </c>
      <c r="AF216" s="27">
        <f t="shared" si="67"/>
        <v>-0.15000000000000013</v>
      </c>
      <c r="AN216" s="27">
        <f>AN215+1.5%</f>
        <v>-0.16999999999999998</v>
      </c>
      <c r="AO216">
        <v>-0.4</v>
      </c>
      <c r="AZ216" s="24">
        <f t="shared" si="66"/>
        <v>2.9999999999999996</v>
      </c>
      <c r="BB216">
        <v>0.2</v>
      </c>
      <c r="BD216">
        <v>2</v>
      </c>
    </row>
    <row r="217" spans="19:59">
      <c r="S217" s="89"/>
      <c r="T217" s="71"/>
      <c r="U217">
        <v>1980</v>
      </c>
      <c r="V217" t="s">
        <v>159</v>
      </c>
      <c r="W217" t="s">
        <v>159</v>
      </c>
      <c r="Y217" t="s">
        <v>883</v>
      </c>
      <c r="Z217" t="s">
        <v>157</v>
      </c>
      <c r="AA217" s="10">
        <v>-0.2</v>
      </c>
      <c r="AD217" s="27">
        <f t="shared" si="67"/>
        <v>-0.10000000000000013</v>
      </c>
      <c r="AF217" s="27">
        <f t="shared" si="67"/>
        <v>-0.10000000000000013</v>
      </c>
      <c r="AN217" s="28">
        <f t="shared" ref="AN217:AN220" si="68">AN216+1.5%</f>
        <v>-0.15499999999999997</v>
      </c>
      <c r="AO217">
        <v>-0.4</v>
      </c>
      <c r="AZ217" s="24">
        <f t="shared" si="66"/>
        <v>3.2999999999999994</v>
      </c>
      <c r="BB217">
        <v>0.2</v>
      </c>
      <c r="BD217">
        <v>2</v>
      </c>
    </row>
    <row r="218" spans="19:59">
      <c r="S218" s="89"/>
      <c r="T218" s="71"/>
      <c r="U218">
        <v>1990</v>
      </c>
      <c r="V218" t="s">
        <v>164</v>
      </c>
      <c r="W218" t="s">
        <v>164</v>
      </c>
      <c r="Y218" t="s">
        <v>884</v>
      </c>
      <c r="Z218" t="s">
        <v>162</v>
      </c>
      <c r="AA218" s="10">
        <v>-0.2</v>
      </c>
      <c r="AD218" s="27">
        <f t="shared" si="67"/>
        <v>-5.0000000000000128E-2</v>
      </c>
      <c r="AF218" s="27">
        <f t="shared" si="67"/>
        <v>-5.0000000000000128E-2</v>
      </c>
      <c r="AN218" s="27">
        <f t="shared" si="68"/>
        <v>-0.13999999999999996</v>
      </c>
      <c r="AO218">
        <v>-0.5</v>
      </c>
      <c r="AZ218" s="24">
        <f t="shared" si="66"/>
        <v>3.5999999999999992</v>
      </c>
      <c r="BB218">
        <v>0.2</v>
      </c>
      <c r="BD218">
        <v>2</v>
      </c>
    </row>
    <row r="219" spans="19:59">
      <c r="S219" s="89"/>
      <c r="T219" s="71"/>
      <c r="U219">
        <v>2005</v>
      </c>
      <c r="V219" t="s">
        <v>169</v>
      </c>
      <c r="W219" t="s">
        <v>169</v>
      </c>
      <c r="Y219" t="s">
        <v>885</v>
      </c>
      <c r="Z219" t="s">
        <v>167</v>
      </c>
      <c r="AA219" s="10">
        <v>-0.2</v>
      </c>
      <c r="AD219" s="27">
        <f t="shared" si="67"/>
        <v>-1.2490009027033011E-16</v>
      </c>
      <c r="AF219" s="27">
        <f t="shared" si="67"/>
        <v>-1.2490009027033011E-16</v>
      </c>
      <c r="AN219" s="28">
        <f t="shared" si="68"/>
        <v>-0.12499999999999996</v>
      </c>
      <c r="AO219">
        <v>-0.5</v>
      </c>
      <c r="AZ219" s="24">
        <f t="shared" si="66"/>
        <v>3.899999999999999</v>
      </c>
      <c r="BB219">
        <v>0.2</v>
      </c>
      <c r="BD219">
        <v>2</v>
      </c>
    </row>
    <row r="220" spans="19:59">
      <c r="S220" s="89"/>
      <c r="T220" s="71"/>
      <c r="U220">
        <v>2015</v>
      </c>
      <c r="V220" t="s">
        <v>174</v>
      </c>
      <c r="W220" t="s">
        <v>174</v>
      </c>
      <c r="Y220" t="s">
        <v>886</v>
      </c>
      <c r="Z220" t="s">
        <v>172</v>
      </c>
      <c r="AA220" s="10">
        <v>-0.2</v>
      </c>
      <c r="AD220" s="27">
        <f t="shared" si="67"/>
        <v>4.9999999999999878E-2</v>
      </c>
      <c r="AF220" s="27">
        <f t="shared" si="67"/>
        <v>4.9999999999999878E-2</v>
      </c>
      <c r="AN220" s="27">
        <f t="shared" si="68"/>
        <v>-0.10999999999999996</v>
      </c>
      <c r="AO220">
        <v>-0.5</v>
      </c>
      <c r="AZ220" s="24">
        <f t="shared" si="66"/>
        <v>4.1999999999999993</v>
      </c>
      <c r="BB220">
        <v>0.2</v>
      </c>
      <c r="BD220">
        <v>2</v>
      </c>
    </row>
    <row r="221" spans="19:59">
      <c r="S221" s="89"/>
    </row>
    <row r="222" spans="19:59">
      <c r="S222" s="89"/>
      <c r="T222" s="71" t="s">
        <v>887</v>
      </c>
      <c r="U222">
        <v>1939</v>
      </c>
      <c r="V222" t="s">
        <v>179</v>
      </c>
      <c r="W222" t="s">
        <v>179</v>
      </c>
      <c r="Y222" t="s">
        <v>888</v>
      </c>
      <c r="Z222" t="s">
        <v>889</v>
      </c>
      <c r="AA222" s="10">
        <v>-0.15</v>
      </c>
      <c r="AD222" s="27">
        <v>-0.3</v>
      </c>
      <c r="AF222" s="27">
        <v>-0.3</v>
      </c>
      <c r="AN222" s="27">
        <v>-0.55000000000000004</v>
      </c>
      <c r="AO222">
        <v>-0.4</v>
      </c>
      <c r="AZ222" s="24">
        <v>3</v>
      </c>
      <c r="BB222">
        <v>0.3</v>
      </c>
      <c r="BD222">
        <v>2</v>
      </c>
    </row>
    <row r="223" spans="19:59">
      <c r="S223" s="89"/>
      <c r="T223" s="71"/>
      <c r="U223">
        <v>1942</v>
      </c>
      <c r="V223" t="s">
        <v>181</v>
      </c>
      <c r="W223" t="s">
        <v>181</v>
      </c>
      <c r="Y223" t="s">
        <v>890</v>
      </c>
      <c r="Z223" t="s">
        <v>891</v>
      </c>
      <c r="AA223" s="10">
        <v>-0.2</v>
      </c>
      <c r="AD223" s="27">
        <f>AD222+10%</f>
        <v>-0.19999999999999998</v>
      </c>
      <c r="AF223" s="27">
        <f>AF222+10%</f>
        <v>-0.19999999999999998</v>
      </c>
      <c r="AN223" s="27">
        <v>-0.3</v>
      </c>
      <c r="AO223">
        <v>-0.5</v>
      </c>
      <c r="AZ223" s="24">
        <f>AZ222+0.4</f>
        <v>3.4</v>
      </c>
      <c r="BB223">
        <v>0.3</v>
      </c>
      <c r="BD223">
        <v>2</v>
      </c>
    </row>
    <row r="224" spans="19:59">
      <c r="S224" s="89"/>
      <c r="T224" s="71"/>
      <c r="U224">
        <v>1944</v>
      </c>
      <c r="V224" t="s">
        <v>183</v>
      </c>
      <c r="W224" t="s">
        <v>183</v>
      </c>
      <c r="Y224" t="s">
        <v>892</v>
      </c>
      <c r="Z224" t="s">
        <v>893</v>
      </c>
      <c r="AA224" s="10">
        <v>-0.25</v>
      </c>
      <c r="AD224" s="27">
        <f>AD223+10%</f>
        <v>-9.9999999999999978E-2</v>
      </c>
      <c r="AF224" s="27">
        <f>AF223+10%</f>
        <v>-9.9999999999999978E-2</v>
      </c>
      <c r="AN224" s="27">
        <v>-0.15</v>
      </c>
      <c r="AO224">
        <v>-0.5</v>
      </c>
      <c r="AZ224" s="24">
        <f t="shared" ref="AZ224:AZ231" si="69">AZ223+0.4</f>
        <v>3.8</v>
      </c>
      <c r="BB224">
        <v>0.3</v>
      </c>
      <c r="BD224">
        <v>2</v>
      </c>
    </row>
    <row r="225" spans="19:59">
      <c r="S225" s="89"/>
      <c r="T225" s="71"/>
      <c r="U225" s="15">
        <v>1950</v>
      </c>
      <c r="V225" s="15" t="s">
        <v>185</v>
      </c>
      <c r="W225" s="15" t="s">
        <v>185</v>
      </c>
      <c r="X225" s="15"/>
      <c r="Y225" s="15" t="s">
        <v>894</v>
      </c>
      <c r="Z225" s="15" t="s">
        <v>895</v>
      </c>
      <c r="AA225" s="16">
        <v>-0.25</v>
      </c>
      <c r="AB225" s="15"/>
      <c r="AC225" s="15"/>
      <c r="AD225" s="15">
        <v>0</v>
      </c>
      <c r="AE225" s="15"/>
      <c r="AF225" s="15">
        <v>0</v>
      </c>
      <c r="AG225" s="15"/>
      <c r="AH225" s="15"/>
      <c r="AI225" s="15"/>
      <c r="AJ225" s="15"/>
      <c r="AK225" s="15"/>
      <c r="AL225" s="15"/>
      <c r="AM225" s="15"/>
      <c r="AN225" s="15">
        <v>0</v>
      </c>
      <c r="AO225">
        <v>-0.5</v>
      </c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24">
        <f t="shared" si="69"/>
        <v>4.2</v>
      </c>
      <c r="BA225" s="15"/>
      <c r="BB225">
        <v>0.3</v>
      </c>
      <c r="BC225" s="15"/>
      <c r="BD225">
        <v>2</v>
      </c>
      <c r="BE225" s="15"/>
      <c r="BF225" s="15"/>
      <c r="BG225" s="15"/>
    </row>
    <row r="226" spans="19:59">
      <c r="S226" s="89"/>
      <c r="T226" s="71"/>
      <c r="U226" s="8">
        <v>1960</v>
      </c>
      <c r="V226" s="8" t="s">
        <v>896</v>
      </c>
      <c r="W226" t="s">
        <v>897</v>
      </c>
      <c r="Y226" t="s">
        <v>898</v>
      </c>
      <c r="Z226" t="s">
        <v>899</v>
      </c>
      <c r="AA226" s="14">
        <v>-0.3</v>
      </c>
      <c r="AD226" s="28">
        <v>2.5000000000000001E-2</v>
      </c>
      <c r="AE226" s="57"/>
      <c r="AF226" s="28">
        <v>2.5000000000000001E-2</v>
      </c>
      <c r="AN226" s="28">
        <v>0.125</v>
      </c>
      <c r="AO226">
        <v>-0.6</v>
      </c>
      <c r="AZ226" s="24">
        <f t="shared" si="69"/>
        <v>4.6000000000000005</v>
      </c>
      <c r="BB226">
        <v>0.3</v>
      </c>
      <c r="BD226">
        <v>3</v>
      </c>
    </row>
    <row r="227" spans="19:59">
      <c r="S227" s="89"/>
      <c r="T227" s="71"/>
      <c r="U227" s="8">
        <v>1970</v>
      </c>
      <c r="V227" s="8" t="s">
        <v>900</v>
      </c>
      <c r="W227" t="s">
        <v>901</v>
      </c>
      <c r="Y227" t="s">
        <v>902</v>
      </c>
      <c r="Z227" t="s">
        <v>903</v>
      </c>
      <c r="AA227" s="14">
        <v>-0.3</v>
      </c>
      <c r="AD227" s="28">
        <f t="shared" ref="AD227:AD231" si="70">AD226+5%</f>
        <v>7.5000000000000011E-2</v>
      </c>
      <c r="AE227" s="28"/>
      <c r="AF227" s="28">
        <f t="shared" ref="AF227:AF231" si="71">AF226+5%</f>
        <v>7.5000000000000011E-2</v>
      </c>
      <c r="AN227" s="27">
        <f>AN226+2.5%</f>
        <v>0.15</v>
      </c>
      <c r="AO227">
        <v>-0.6</v>
      </c>
      <c r="AZ227" s="24">
        <f t="shared" si="69"/>
        <v>5.0000000000000009</v>
      </c>
      <c r="BB227">
        <v>0.3</v>
      </c>
      <c r="BD227">
        <v>3</v>
      </c>
    </row>
    <row r="228" spans="19:59">
      <c r="S228" s="89"/>
      <c r="T228" s="71"/>
      <c r="U228" s="8">
        <v>1980</v>
      </c>
      <c r="V228" s="8" t="s">
        <v>904</v>
      </c>
      <c r="W228" t="s">
        <v>905</v>
      </c>
      <c r="Y228" t="s">
        <v>906</v>
      </c>
      <c r="Z228" t="s">
        <v>907</v>
      </c>
      <c r="AA228" s="14">
        <v>-0.3</v>
      </c>
      <c r="AD228" s="28">
        <f t="shared" si="70"/>
        <v>0.125</v>
      </c>
      <c r="AE228" s="28"/>
      <c r="AF228" s="28">
        <f t="shared" si="71"/>
        <v>0.125</v>
      </c>
      <c r="AN228" s="28">
        <f t="shared" ref="AN228:AN231" si="72">AN227+2.5%</f>
        <v>0.17499999999999999</v>
      </c>
      <c r="AO228">
        <v>-0.6</v>
      </c>
      <c r="AZ228" s="24">
        <f t="shared" si="69"/>
        <v>5.4000000000000012</v>
      </c>
      <c r="BB228">
        <v>0.3</v>
      </c>
      <c r="BD228">
        <v>3</v>
      </c>
    </row>
    <row r="229" spans="19:59">
      <c r="S229" s="89"/>
      <c r="T229" s="71"/>
      <c r="U229" s="8">
        <v>1990</v>
      </c>
      <c r="V229" s="9" t="s">
        <v>908</v>
      </c>
      <c r="W229" t="s">
        <v>909</v>
      </c>
      <c r="Y229" t="s">
        <v>910</v>
      </c>
      <c r="Z229" t="s">
        <v>911</v>
      </c>
      <c r="AA229" s="14">
        <v>-0.3</v>
      </c>
      <c r="AD229" s="28">
        <f t="shared" si="70"/>
        <v>0.17499999999999999</v>
      </c>
      <c r="AE229" s="28"/>
      <c r="AF229" s="28">
        <f t="shared" si="71"/>
        <v>0.17499999999999999</v>
      </c>
      <c r="AN229" s="27">
        <f t="shared" si="72"/>
        <v>0.19999999999999998</v>
      </c>
      <c r="AO229">
        <v>-0.7</v>
      </c>
      <c r="AZ229" s="24">
        <f t="shared" si="69"/>
        <v>5.8000000000000016</v>
      </c>
      <c r="BB229">
        <v>0.3</v>
      </c>
      <c r="BD229">
        <v>3</v>
      </c>
    </row>
    <row r="230" spans="19:59">
      <c r="S230" s="89"/>
      <c r="T230" s="71"/>
      <c r="U230" s="8">
        <v>2005</v>
      </c>
      <c r="V230" s="9" t="s">
        <v>912</v>
      </c>
      <c r="W230" t="s">
        <v>913</v>
      </c>
      <c r="Y230" t="s">
        <v>914</v>
      </c>
      <c r="Z230" t="s">
        <v>915</v>
      </c>
      <c r="AA230" s="14">
        <v>-0.3</v>
      </c>
      <c r="AD230" s="28">
        <f t="shared" si="70"/>
        <v>0.22499999999999998</v>
      </c>
      <c r="AE230" s="28"/>
      <c r="AF230" s="28">
        <f t="shared" si="71"/>
        <v>0.22499999999999998</v>
      </c>
      <c r="AN230" s="28">
        <f t="shared" si="72"/>
        <v>0.22499999999999998</v>
      </c>
      <c r="AO230">
        <v>-0.7</v>
      </c>
      <c r="AZ230" s="24">
        <f t="shared" si="69"/>
        <v>6.200000000000002</v>
      </c>
      <c r="BB230">
        <v>0.3</v>
      </c>
      <c r="BD230">
        <v>3</v>
      </c>
    </row>
    <row r="231" spans="19:59">
      <c r="S231" s="89"/>
      <c r="T231" s="71"/>
      <c r="U231" s="8">
        <v>2015</v>
      </c>
      <c r="V231" s="9" t="s">
        <v>916</v>
      </c>
      <c r="W231" t="s">
        <v>917</v>
      </c>
      <c r="Y231" t="s">
        <v>918</v>
      </c>
      <c r="Z231" t="s">
        <v>919</v>
      </c>
      <c r="AA231" s="14">
        <v>-0.3</v>
      </c>
      <c r="AD231" s="28">
        <f t="shared" si="70"/>
        <v>0.27499999999999997</v>
      </c>
      <c r="AE231" s="28"/>
      <c r="AF231" s="28">
        <f t="shared" si="71"/>
        <v>0.27499999999999997</v>
      </c>
      <c r="AN231" s="27">
        <f t="shared" si="72"/>
        <v>0.24999999999999997</v>
      </c>
      <c r="AO231">
        <v>-0.7</v>
      </c>
      <c r="AZ231" s="24">
        <f t="shared" si="69"/>
        <v>6.6000000000000023</v>
      </c>
      <c r="BB231">
        <v>0.3</v>
      </c>
      <c r="BD231">
        <v>3</v>
      </c>
    </row>
    <row r="232" spans="19:59">
      <c r="S232" s="89"/>
      <c r="T232" s="71"/>
      <c r="U232">
        <v>1960</v>
      </c>
      <c r="V232" t="s">
        <v>920</v>
      </c>
      <c r="W232" t="s">
        <v>897</v>
      </c>
      <c r="Y232" s="22" t="s">
        <v>921</v>
      </c>
      <c r="Z232" t="s">
        <v>922</v>
      </c>
      <c r="AA232" s="10">
        <v>-0.3</v>
      </c>
      <c r="AD232" s="28">
        <f>AD225+7.5%</f>
        <v>7.4999999999999997E-2</v>
      </c>
      <c r="AE232" s="28"/>
      <c r="AF232" s="28">
        <f>AF225+7.5%</f>
        <v>7.4999999999999997E-2</v>
      </c>
      <c r="AN232" s="28">
        <v>2.5000000000000001E-2</v>
      </c>
      <c r="AO232">
        <v>-0.6</v>
      </c>
      <c r="AZ232" s="24">
        <f>AZ225+0.8</f>
        <v>5</v>
      </c>
      <c r="BB232">
        <v>0.3</v>
      </c>
      <c r="BD232">
        <v>3</v>
      </c>
    </row>
    <row r="233" spans="19:59">
      <c r="S233" s="89"/>
      <c r="T233" s="71"/>
      <c r="U233">
        <v>1970</v>
      </c>
      <c r="V233" t="s">
        <v>923</v>
      </c>
      <c r="W233" t="s">
        <v>901</v>
      </c>
      <c r="Y233" s="22" t="s">
        <v>924</v>
      </c>
      <c r="Z233" t="s">
        <v>925</v>
      </c>
      <c r="AA233" s="10">
        <v>-0.3</v>
      </c>
      <c r="AD233" s="28">
        <f t="shared" ref="AD233:AF237" si="73">AD232+5%</f>
        <v>0.125</v>
      </c>
      <c r="AE233" s="28"/>
      <c r="AF233" s="28">
        <f t="shared" si="73"/>
        <v>0.125</v>
      </c>
      <c r="AN233" s="27">
        <f>AN232+2.5%</f>
        <v>0.05</v>
      </c>
      <c r="AO233">
        <v>-0.6</v>
      </c>
      <c r="AZ233" s="24">
        <f>AZ232+0.4</f>
        <v>5.4</v>
      </c>
      <c r="BB233">
        <v>0.3</v>
      </c>
      <c r="BD233">
        <v>3</v>
      </c>
    </row>
    <row r="234" spans="19:59">
      <c r="S234" s="89"/>
      <c r="T234" s="71"/>
      <c r="U234">
        <v>1980</v>
      </c>
      <c r="V234" t="s">
        <v>926</v>
      </c>
      <c r="W234" t="s">
        <v>905</v>
      </c>
      <c r="Y234" s="22" t="s">
        <v>927</v>
      </c>
      <c r="Z234" t="s">
        <v>928</v>
      </c>
      <c r="AA234" s="10">
        <v>-0.3</v>
      </c>
      <c r="AD234" s="28">
        <f t="shared" si="73"/>
        <v>0.17499999999999999</v>
      </c>
      <c r="AE234" s="28"/>
      <c r="AF234" s="28">
        <f t="shared" si="73"/>
        <v>0.17499999999999999</v>
      </c>
      <c r="AN234" s="28">
        <f t="shared" ref="AN234:AN237" si="74">AN233+2.5%</f>
        <v>7.5000000000000011E-2</v>
      </c>
      <c r="AO234">
        <v>-0.6</v>
      </c>
      <c r="AZ234" s="24">
        <f t="shared" ref="AZ234:AZ237" si="75">AZ233+0.4</f>
        <v>5.8000000000000007</v>
      </c>
      <c r="BB234">
        <v>0.3</v>
      </c>
      <c r="BD234">
        <v>3</v>
      </c>
    </row>
    <row r="235" spans="19:59">
      <c r="S235" s="89"/>
      <c r="T235" s="71"/>
      <c r="U235">
        <v>1990</v>
      </c>
      <c r="V235" t="s">
        <v>929</v>
      </c>
      <c r="W235" t="s">
        <v>909</v>
      </c>
      <c r="Y235" s="22" t="s">
        <v>930</v>
      </c>
      <c r="Z235" t="s">
        <v>931</v>
      </c>
      <c r="AA235" s="10">
        <v>-0.3</v>
      </c>
      <c r="AD235" s="28">
        <f t="shared" si="73"/>
        <v>0.22499999999999998</v>
      </c>
      <c r="AE235" s="28"/>
      <c r="AF235" s="28">
        <f t="shared" si="73"/>
        <v>0.22499999999999998</v>
      </c>
      <c r="AN235" s="27">
        <f t="shared" si="74"/>
        <v>0.1</v>
      </c>
      <c r="AO235">
        <v>-0.7</v>
      </c>
      <c r="AZ235" s="24">
        <f t="shared" si="75"/>
        <v>6.2000000000000011</v>
      </c>
      <c r="BB235">
        <v>0.3</v>
      </c>
      <c r="BD235">
        <v>3</v>
      </c>
    </row>
    <row r="236" spans="19:59">
      <c r="S236" s="89"/>
      <c r="T236" s="71"/>
      <c r="U236">
        <v>2005</v>
      </c>
      <c r="V236" t="s">
        <v>932</v>
      </c>
      <c r="W236" t="s">
        <v>913</v>
      </c>
      <c r="Y236" s="22" t="s">
        <v>933</v>
      </c>
      <c r="Z236" t="s">
        <v>934</v>
      </c>
      <c r="AA236" s="10">
        <v>-0.3</v>
      </c>
      <c r="AD236" s="28">
        <f t="shared" si="73"/>
        <v>0.27499999999999997</v>
      </c>
      <c r="AE236" s="28"/>
      <c r="AF236" s="28">
        <f t="shared" si="73"/>
        <v>0.27499999999999997</v>
      </c>
      <c r="AN236" s="28">
        <f t="shared" si="74"/>
        <v>0.125</v>
      </c>
      <c r="AO236">
        <v>-0.7</v>
      </c>
      <c r="AZ236" s="24">
        <f t="shared" si="75"/>
        <v>6.6000000000000014</v>
      </c>
      <c r="BB236">
        <v>0.3</v>
      </c>
      <c r="BD236">
        <v>3</v>
      </c>
    </row>
    <row r="237" spans="19:59">
      <c r="S237" s="89"/>
      <c r="T237" s="71"/>
      <c r="U237">
        <v>2015</v>
      </c>
      <c r="V237" t="s">
        <v>935</v>
      </c>
      <c r="W237" t="s">
        <v>917</v>
      </c>
      <c r="Y237" s="22" t="s">
        <v>936</v>
      </c>
      <c r="Z237" t="s">
        <v>937</v>
      </c>
      <c r="AA237" s="10">
        <v>-0.3</v>
      </c>
      <c r="AD237" s="28">
        <f t="shared" si="73"/>
        <v>0.32499999999999996</v>
      </c>
      <c r="AE237" s="28"/>
      <c r="AF237" s="28">
        <f t="shared" si="73"/>
        <v>0.32499999999999996</v>
      </c>
      <c r="AN237" s="27">
        <f t="shared" si="74"/>
        <v>0.15</v>
      </c>
      <c r="AO237">
        <v>-0.7</v>
      </c>
      <c r="AZ237" s="24">
        <f t="shared" si="75"/>
        <v>7.0000000000000018</v>
      </c>
      <c r="BB237">
        <v>0.3</v>
      </c>
      <c r="BD237">
        <v>3</v>
      </c>
    </row>
    <row r="238" spans="19:59">
      <c r="S238" s="89"/>
      <c r="AZ238" s="52"/>
    </row>
    <row r="239" spans="19:59">
      <c r="S239" s="89"/>
      <c r="T239" s="71" t="s">
        <v>938</v>
      </c>
      <c r="U239">
        <v>1942</v>
      </c>
      <c r="V239" t="s">
        <v>217</v>
      </c>
      <c r="W239" t="s">
        <v>217</v>
      </c>
      <c r="Y239" t="s">
        <v>939</v>
      </c>
      <c r="Z239" t="s">
        <v>940</v>
      </c>
      <c r="AA239" s="10">
        <v>-0.3</v>
      </c>
      <c r="AD239">
        <v>0</v>
      </c>
      <c r="AF239">
        <v>0</v>
      </c>
      <c r="AN239" s="27">
        <v>-0.05</v>
      </c>
      <c r="AO239">
        <v>-0.6</v>
      </c>
      <c r="AZ239" s="24">
        <v>6</v>
      </c>
      <c r="BB239">
        <v>0.4</v>
      </c>
      <c r="BD239">
        <v>3</v>
      </c>
    </row>
    <row r="240" spans="19:59">
      <c r="S240" s="89"/>
      <c r="T240" s="71"/>
      <c r="U240">
        <v>1944</v>
      </c>
      <c r="V240" t="s">
        <v>218</v>
      </c>
      <c r="W240" t="s">
        <v>218</v>
      </c>
      <c r="Y240" t="s">
        <v>941</v>
      </c>
      <c r="Z240" t="s">
        <v>942</v>
      </c>
      <c r="AA240" s="10">
        <v>-0.3</v>
      </c>
      <c r="AD240" s="27">
        <f t="shared" ref="AD240:AD242" si="76">AD239+5%</f>
        <v>0.05</v>
      </c>
      <c r="AF240" s="27">
        <f t="shared" ref="AF240:AF242" si="77">AF239+5%</f>
        <v>0.05</v>
      </c>
      <c r="AN240">
        <v>0</v>
      </c>
      <c r="AO240">
        <v>-0.6</v>
      </c>
      <c r="AZ240" s="24">
        <f>AZ239+0.5</f>
        <v>6.5</v>
      </c>
      <c r="BB240">
        <v>0.4</v>
      </c>
      <c r="BD240">
        <v>3</v>
      </c>
    </row>
    <row r="241" spans="19:56">
      <c r="S241" s="89"/>
      <c r="T241" s="71"/>
      <c r="U241">
        <v>1950</v>
      </c>
      <c r="V241" t="s">
        <v>219</v>
      </c>
      <c r="W241" t="s">
        <v>219</v>
      </c>
      <c r="Y241" t="s">
        <v>943</v>
      </c>
      <c r="Z241" t="s">
        <v>944</v>
      </c>
      <c r="AA241" s="10">
        <v>-0.3</v>
      </c>
      <c r="AD241" s="27">
        <f t="shared" si="76"/>
        <v>0.1</v>
      </c>
      <c r="AF241" s="27">
        <f t="shared" si="77"/>
        <v>0.1</v>
      </c>
      <c r="AN241" s="27">
        <v>0.15</v>
      </c>
      <c r="AO241">
        <v>-0.7</v>
      </c>
      <c r="AZ241" s="24">
        <f t="shared" ref="AZ241:AZ242" si="78">AZ240+0.5</f>
        <v>7</v>
      </c>
      <c r="BB241">
        <v>0.4</v>
      </c>
      <c r="BD241">
        <v>3</v>
      </c>
    </row>
    <row r="242" spans="19:56">
      <c r="S242" s="89"/>
      <c r="T242" s="71"/>
      <c r="U242">
        <v>1955</v>
      </c>
      <c r="V242" t="s">
        <v>220</v>
      </c>
      <c r="W242" t="s">
        <v>220</v>
      </c>
      <c r="Y242" t="s">
        <v>945</v>
      </c>
      <c r="Z242" t="s">
        <v>946</v>
      </c>
      <c r="AA242" s="10">
        <v>-0.35</v>
      </c>
      <c r="AD242" s="27">
        <f t="shared" si="76"/>
        <v>0.15000000000000002</v>
      </c>
      <c r="AF242" s="27">
        <f t="shared" si="77"/>
        <v>0.15000000000000002</v>
      </c>
      <c r="AN242" s="27">
        <v>0.2</v>
      </c>
      <c r="AO242">
        <v>-0.7</v>
      </c>
      <c r="AZ242" s="24">
        <f t="shared" si="78"/>
        <v>7.5</v>
      </c>
      <c r="BB242">
        <v>0.4</v>
      </c>
      <c r="BD242">
        <v>3</v>
      </c>
    </row>
    <row r="243" spans="19:56">
      <c r="S243" s="89"/>
      <c r="T243" s="66"/>
    </row>
    <row r="244" spans="19:56">
      <c r="S244" s="89"/>
      <c r="T244" s="66" t="s">
        <v>947</v>
      </c>
      <c r="U244">
        <v>1955</v>
      </c>
      <c r="V244" t="s">
        <v>223</v>
      </c>
      <c r="W244" t="s">
        <v>223</v>
      </c>
      <c r="Y244" t="s">
        <v>948</v>
      </c>
      <c r="Z244" t="s">
        <v>949</v>
      </c>
      <c r="AA244" s="10">
        <v>-0.4</v>
      </c>
      <c r="AD244" s="27">
        <v>0.25</v>
      </c>
      <c r="AF244" s="27">
        <v>0.25</v>
      </c>
      <c r="AN244" s="27">
        <v>0.35</v>
      </c>
      <c r="AO244">
        <v>-1.2</v>
      </c>
      <c r="AZ244" s="24">
        <v>8</v>
      </c>
      <c r="BB244">
        <v>0.5</v>
      </c>
      <c r="BD244">
        <v>5</v>
      </c>
    </row>
    <row r="245" spans="19:56">
      <c r="S245" s="89"/>
      <c r="T245" s="66"/>
    </row>
    <row r="246" spans="19:56">
      <c r="S246" s="89"/>
      <c r="T246" s="66" t="s">
        <v>225</v>
      </c>
      <c r="U246">
        <v>1960</v>
      </c>
      <c r="V246" t="s">
        <v>225</v>
      </c>
      <c r="W246" t="s">
        <v>225</v>
      </c>
      <c r="Y246" t="s">
        <v>225</v>
      </c>
      <c r="Z246" t="s">
        <v>950</v>
      </c>
      <c r="AA246" s="27">
        <v>-0.3</v>
      </c>
      <c r="AD246" s="28">
        <v>0.125</v>
      </c>
      <c r="AF246" s="28">
        <v>0.125</v>
      </c>
      <c r="AN246" s="27">
        <v>0.2</v>
      </c>
      <c r="AO246">
        <v>-0.6</v>
      </c>
      <c r="AZ246" s="24">
        <v>5.2</v>
      </c>
      <c r="BB246">
        <v>0.3</v>
      </c>
      <c r="BD246">
        <v>2</v>
      </c>
    </row>
    <row r="247" spans="19:56">
      <c r="S247" s="89"/>
      <c r="T247" s="66"/>
    </row>
    <row r="248" spans="19:56">
      <c r="S248" s="89"/>
      <c r="T248" s="71" t="s">
        <v>951</v>
      </c>
      <c r="U248">
        <v>1990</v>
      </c>
      <c r="V248" t="s">
        <v>228</v>
      </c>
      <c r="W248" t="s">
        <v>228</v>
      </c>
      <c r="Y248" t="s">
        <v>952</v>
      </c>
      <c r="Z248" t="s">
        <v>953</v>
      </c>
      <c r="AA248" s="27">
        <v>-0.4</v>
      </c>
      <c r="AD248" s="27">
        <v>0.25</v>
      </c>
      <c r="AE248" s="27"/>
      <c r="AF248" s="27">
        <v>0.25</v>
      </c>
      <c r="AN248" s="27">
        <v>0.4</v>
      </c>
      <c r="AO248">
        <v>-0.8</v>
      </c>
      <c r="AZ248" s="24">
        <v>7.5</v>
      </c>
      <c r="BB248">
        <v>0.3</v>
      </c>
      <c r="BD248">
        <v>4</v>
      </c>
    </row>
    <row r="249" spans="19:56">
      <c r="S249" s="89"/>
      <c r="T249" s="71"/>
      <c r="U249">
        <v>2000</v>
      </c>
      <c r="V249" t="s">
        <v>229</v>
      </c>
      <c r="W249" t="s">
        <v>229</v>
      </c>
      <c r="Y249" t="s">
        <v>954</v>
      </c>
      <c r="Z249" t="s">
        <v>955</v>
      </c>
      <c r="AA249" s="27">
        <v>-0.35</v>
      </c>
      <c r="AD249" s="27">
        <f>AD248+5%</f>
        <v>0.3</v>
      </c>
      <c r="AE249" s="27"/>
      <c r="AF249" s="27">
        <f>AF248+5%</f>
        <v>0.3</v>
      </c>
      <c r="AN249" s="27">
        <v>0.45</v>
      </c>
      <c r="AO249">
        <v>-0.8</v>
      </c>
      <c r="AZ249" s="24">
        <f>AZ248+0.6</f>
        <v>8.1</v>
      </c>
      <c r="BB249">
        <v>0.3</v>
      </c>
      <c r="BD249">
        <v>4</v>
      </c>
    </row>
    <row r="250" spans="19:56">
      <c r="S250" s="89"/>
      <c r="T250" s="71"/>
      <c r="U250">
        <v>2010</v>
      </c>
      <c r="V250" t="s">
        <v>230</v>
      </c>
      <c r="W250" t="s">
        <v>230</v>
      </c>
      <c r="Y250" t="s">
        <v>956</v>
      </c>
      <c r="Z250" t="s">
        <v>957</v>
      </c>
      <c r="AA250" s="27">
        <v>-0.35</v>
      </c>
      <c r="AD250" s="27">
        <f>AD249+5%</f>
        <v>0.35</v>
      </c>
      <c r="AE250" s="27"/>
      <c r="AF250" s="27">
        <f>AF249+5%</f>
        <v>0.35</v>
      </c>
      <c r="AN250" s="27">
        <v>0.5</v>
      </c>
      <c r="AO250">
        <v>-0.8</v>
      </c>
      <c r="AZ250" s="24">
        <f>AZ249+0.6</f>
        <v>8.6999999999999993</v>
      </c>
      <c r="BB250">
        <v>0.3</v>
      </c>
      <c r="BD250">
        <v>4</v>
      </c>
    </row>
    <row r="251" spans="19:56">
      <c r="S251" s="89"/>
    </row>
    <row r="252" spans="19:56">
      <c r="S252" s="89"/>
      <c r="T252" s="71" t="s">
        <v>231</v>
      </c>
      <c r="U252">
        <v>1950</v>
      </c>
      <c r="V252" t="s">
        <v>232</v>
      </c>
      <c r="W252" t="s">
        <v>232</v>
      </c>
      <c r="Y252" t="s">
        <v>958</v>
      </c>
      <c r="Z252" t="s">
        <v>959</v>
      </c>
      <c r="AA252" s="27">
        <v>-0.1</v>
      </c>
      <c r="AD252" s="27">
        <v>-0.35</v>
      </c>
      <c r="AF252" s="27">
        <v>-0.35</v>
      </c>
      <c r="AN252" s="27">
        <v>-0.2</v>
      </c>
      <c r="AO252">
        <v>-0.2</v>
      </c>
      <c r="AZ252" s="24">
        <v>2</v>
      </c>
      <c r="BB252">
        <v>0.2</v>
      </c>
      <c r="BD252">
        <v>1</v>
      </c>
    </row>
    <row r="253" spans="19:56">
      <c r="S253" s="89"/>
      <c r="T253" s="71"/>
      <c r="U253">
        <v>1960</v>
      </c>
      <c r="V253" s="7" t="s">
        <v>234</v>
      </c>
      <c r="W253" s="7" t="s">
        <v>234</v>
      </c>
      <c r="Y253" t="s">
        <v>960</v>
      </c>
      <c r="Z253" t="s">
        <v>961</v>
      </c>
      <c r="AA253" s="27">
        <v>-0.1</v>
      </c>
      <c r="AD253" s="27">
        <f>AD252+5%</f>
        <v>-0.3</v>
      </c>
      <c r="AF253" s="27">
        <f t="shared" ref="AF253:AF255" si="79">AF252+5%</f>
        <v>-0.3</v>
      </c>
      <c r="AN253" s="28">
        <v>-0.185</v>
      </c>
      <c r="AO253">
        <v>-0.2</v>
      </c>
      <c r="AZ253" s="24">
        <f>AZ252+0.3</f>
        <v>2.2999999999999998</v>
      </c>
      <c r="BB253">
        <v>0.2</v>
      </c>
      <c r="BD253">
        <v>1</v>
      </c>
    </row>
    <row r="254" spans="19:56">
      <c r="S254" s="89"/>
      <c r="T254" s="71"/>
      <c r="U254">
        <v>1970</v>
      </c>
      <c r="V254" s="7" t="s">
        <v>235</v>
      </c>
      <c r="W254" s="7" t="s">
        <v>235</v>
      </c>
      <c r="Y254" t="s">
        <v>962</v>
      </c>
      <c r="Z254" t="s">
        <v>963</v>
      </c>
      <c r="AA254" s="27">
        <v>-0.1</v>
      </c>
      <c r="AD254" s="27">
        <f t="shared" ref="AD254:AD255" si="80">AD253+5%</f>
        <v>-0.25</v>
      </c>
      <c r="AF254" s="27">
        <f t="shared" si="79"/>
        <v>-0.25</v>
      </c>
      <c r="AN254" s="27">
        <v>-0.17</v>
      </c>
      <c r="AO254">
        <v>-0.2</v>
      </c>
      <c r="AZ254" s="24">
        <f t="shared" ref="AZ254:AZ255" si="81">AZ253+0.3</f>
        <v>2.5999999999999996</v>
      </c>
      <c r="BB254">
        <v>0.2</v>
      </c>
      <c r="BD254">
        <v>1</v>
      </c>
    </row>
    <row r="255" spans="19:56">
      <c r="S255" s="89"/>
      <c r="T255" s="71"/>
      <c r="U255">
        <v>1990</v>
      </c>
      <c r="V255" t="s">
        <v>236</v>
      </c>
      <c r="W255" t="s">
        <v>236</v>
      </c>
      <c r="Y255" t="s">
        <v>964</v>
      </c>
      <c r="Z255" t="s">
        <v>965</v>
      </c>
      <c r="AA255" s="27">
        <v>-0.1</v>
      </c>
      <c r="AD255" s="27">
        <f t="shared" si="80"/>
        <v>-0.2</v>
      </c>
      <c r="AF255" s="27">
        <f t="shared" si="79"/>
        <v>-0.2</v>
      </c>
      <c r="AN255" s="27">
        <v>-0.14000000000000001</v>
      </c>
      <c r="AO255">
        <v>-0.3</v>
      </c>
      <c r="AZ255" s="24">
        <f t="shared" si="81"/>
        <v>2.8999999999999995</v>
      </c>
      <c r="BB255">
        <v>0.2</v>
      </c>
      <c r="BD255">
        <v>1</v>
      </c>
    </row>
    <row r="258" spans="19:59">
      <c r="S258" s="77" t="s">
        <v>471</v>
      </c>
      <c r="T258" s="77" t="s">
        <v>2</v>
      </c>
      <c r="U258" s="77" t="s">
        <v>3</v>
      </c>
      <c r="V258" s="77" t="s">
        <v>472</v>
      </c>
      <c r="W258" s="77" t="s">
        <v>473</v>
      </c>
      <c r="X258" s="86" t="s">
        <v>240</v>
      </c>
      <c r="Y258" s="87"/>
      <c r="Z258" s="77" t="s">
        <v>474</v>
      </c>
      <c r="AA258" s="79" t="s">
        <v>121</v>
      </c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80"/>
      <c r="AP258" s="80"/>
      <c r="AQ258" s="80"/>
      <c r="AR258" s="80"/>
      <c r="AS258" s="80"/>
      <c r="AT258" s="80"/>
      <c r="AU258" s="80"/>
      <c r="AV258" s="80"/>
      <c r="AW258" s="80"/>
      <c r="AX258" s="80"/>
      <c r="AY258" s="80"/>
      <c r="AZ258" s="80"/>
      <c r="BA258" s="80"/>
      <c r="BB258" s="81"/>
      <c r="BC258" s="82" t="s">
        <v>241</v>
      </c>
      <c r="BD258" s="83"/>
      <c r="BE258" s="83"/>
      <c r="BF258" s="83"/>
      <c r="BG258" s="84"/>
    </row>
    <row r="259" spans="19:59">
      <c r="S259" s="78"/>
      <c r="T259" s="78"/>
      <c r="U259" s="78"/>
      <c r="V259" s="78"/>
      <c r="W259" s="78"/>
      <c r="X259" s="68" t="s">
        <v>477</v>
      </c>
      <c r="Y259" s="68" t="s">
        <v>243</v>
      </c>
      <c r="Z259" s="78"/>
      <c r="AA259" s="46" t="s">
        <v>244</v>
      </c>
      <c r="AB259" s="46" t="s">
        <v>245</v>
      </c>
      <c r="AC259" s="46" t="s">
        <v>124</v>
      </c>
      <c r="AD259" s="46" t="s">
        <v>246</v>
      </c>
      <c r="AE259" s="46" t="s">
        <v>125</v>
      </c>
      <c r="AF259" s="46" t="s">
        <v>247</v>
      </c>
      <c r="AG259" s="46" t="s">
        <v>248</v>
      </c>
      <c r="AH259" s="46" t="s">
        <v>249</v>
      </c>
      <c r="AI259" s="46" t="s">
        <v>250</v>
      </c>
      <c r="AJ259" s="46" t="s">
        <v>251</v>
      </c>
      <c r="AK259" s="46" t="s">
        <v>8</v>
      </c>
      <c r="AL259" s="46" t="s">
        <v>253</v>
      </c>
      <c r="AM259" s="46" t="s">
        <v>126</v>
      </c>
      <c r="AN259" s="46" t="s">
        <v>478</v>
      </c>
      <c r="AO259" s="46" t="s">
        <v>127</v>
      </c>
      <c r="AP259" s="46" t="s">
        <v>252</v>
      </c>
      <c r="AQ259" s="46" t="s">
        <v>112</v>
      </c>
      <c r="AR259" s="46" t="s">
        <v>343</v>
      </c>
      <c r="AS259" s="53" t="s">
        <v>479</v>
      </c>
      <c r="AT259" s="46" t="s">
        <v>254</v>
      </c>
      <c r="AU259" s="46" t="s">
        <v>255</v>
      </c>
      <c r="AV259" s="46" t="s">
        <v>256</v>
      </c>
      <c r="AW259" s="46" t="s">
        <v>257</v>
      </c>
      <c r="AX259" s="46" t="s">
        <v>480</v>
      </c>
      <c r="AY259" s="46" t="s">
        <v>481</v>
      </c>
      <c r="AZ259" s="47" t="s">
        <v>9</v>
      </c>
      <c r="BA259" s="46" t="s">
        <v>258</v>
      </c>
      <c r="BB259" s="46" t="s">
        <v>259</v>
      </c>
      <c r="BC259" s="46" t="s">
        <v>260</v>
      </c>
      <c r="BD259" s="46" t="s">
        <v>261</v>
      </c>
      <c r="BE259" s="46" t="s">
        <v>262</v>
      </c>
      <c r="BF259" s="46" t="s">
        <v>263</v>
      </c>
      <c r="BG259" s="46" t="s">
        <v>264</v>
      </c>
    </row>
    <row r="260" spans="19:59">
      <c r="S260" t="s">
        <v>966</v>
      </c>
      <c r="T260" s="85" t="s">
        <v>967</v>
      </c>
      <c r="U260">
        <v>1939</v>
      </c>
      <c r="V260" t="s">
        <v>968</v>
      </c>
      <c r="W260" t="s">
        <v>968</v>
      </c>
      <c r="Y260" t="s">
        <v>969</v>
      </c>
      <c r="Z260" t="s">
        <v>970</v>
      </c>
      <c r="AC260">
        <v>20</v>
      </c>
      <c r="AM260" s="15">
        <v>150</v>
      </c>
    </row>
    <row r="261" spans="19:59">
      <c r="T261" s="71"/>
      <c r="U261">
        <v>1942</v>
      </c>
      <c r="V261" t="s">
        <v>971</v>
      </c>
      <c r="W261" t="s">
        <v>971</v>
      </c>
      <c r="Y261" t="s">
        <v>972</v>
      </c>
      <c r="Z261" t="s">
        <v>973</v>
      </c>
      <c r="AC261">
        <f>AC260+10</f>
        <v>30</v>
      </c>
      <c r="AM261">
        <f>AM260+50</f>
        <v>200</v>
      </c>
    </row>
    <row r="262" spans="19:59">
      <c r="T262" s="71"/>
      <c r="U262">
        <v>1950</v>
      </c>
      <c r="V262" t="s">
        <v>974</v>
      </c>
      <c r="W262" t="s">
        <v>974</v>
      </c>
      <c r="Y262" t="s">
        <v>975</v>
      </c>
      <c r="Z262" t="s">
        <v>976</v>
      </c>
      <c r="AC262">
        <f t="shared" ref="AC262:AC268" si="82">AC261+10</f>
        <v>40</v>
      </c>
      <c r="AM262">
        <f>AM261+50</f>
        <v>250</v>
      </c>
    </row>
    <row r="263" spans="19:59">
      <c r="T263" s="71"/>
      <c r="U263">
        <v>1960</v>
      </c>
      <c r="V263" t="s">
        <v>977</v>
      </c>
      <c r="W263" t="s">
        <v>977</v>
      </c>
      <c r="Y263" t="s">
        <v>978</v>
      </c>
      <c r="Z263" t="s">
        <v>979</v>
      </c>
      <c r="AC263">
        <f t="shared" si="82"/>
        <v>50</v>
      </c>
      <c r="AM263">
        <f>AM262+50</f>
        <v>300</v>
      </c>
    </row>
    <row r="264" spans="19:59">
      <c r="T264" s="71"/>
      <c r="U264">
        <v>1970</v>
      </c>
      <c r="V264" t="s">
        <v>980</v>
      </c>
      <c r="W264" t="s">
        <v>980</v>
      </c>
      <c r="Y264" t="s">
        <v>981</v>
      </c>
      <c r="Z264" t="s">
        <v>982</v>
      </c>
      <c r="AC264">
        <f t="shared" si="82"/>
        <v>60</v>
      </c>
      <c r="AM264">
        <f>AM263+75</f>
        <v>375</v>
      </c>
    </row>
    <row r="265" spans="19:59">
      <c r="T265" s="71"/>
      <c r="U265">
        <v>1980</v>
      </c>
      <c r="V265" t="s">
        <v>983</v>
      </c>
      <c r="W265" t="s">
        <v>983</v>
      </c>
      <c r="Y265" t="s">
        <v>984</v>
      </c>
      <c r="Z265" t="s">
        <v>985</v>
      </c>
      <c r="AC265">
        <f t="shared" si="82"/>
        <v>70</v>
      </c>
      <c r="AM265">
        <f>AM264+75</f>
        <v>450</v>
      </c>
    </row>
    <row r="266" spans="19:59">
      <c r="T266" s="71"/>
      <c r="U266">
        <v>1990</v>
      </c>
      <c r="V266" t="s">
        <v>986</v>
      </c>
      <c r="W266" t="s">
        <v>986</v>
      </c>
      <c r="Y266" t="s">
        <v>987</v>
      </c>
      <c r="Z266" t="s">
        <v>988</v>
      </c>
      <c r="AC266">
        <f t="shared" si="82"/>
        <v>80</v>
      </c>
      <c r="AM266">
        <f>AM265+100</f>
        <v>550</v>
      </c>
    </row>
    <row r="267" spans="19:59">
      <c r="T267" s="71"/>
      <c r="U267">
        <v>2000</v>
      </c>
      <c r="V267" t="s">
        <v>989</v>
      </c>
      <c r="W267" t="s">
        <v>989</v>
      </c>
      <c r="Y267" t="s">
        <v>990</v>
      </c>
      <c r="Z267" t="s">
        <v>991</v>
      </c>
      <c r="AC267">
        <f t="shared" si="82"/>
        <v>90</v>
      </c>
      <c r="AM267">
        <f t="shared" ref="AM267" si="83">AM266+100</f>
        <v>650</v>
      </c>
    </row>
    <row r="268" spans="19:59">
      <c r="T268" s="71"/>
      <c r="U268">
        <v>2015</v>
      </c>
      <c r="V268" t="s">
        <v>992</v>
      </c>
      <c r="W268" t="s">
        <v>992</v>
      </c>
      <c r="Y268" t="s">
        <v>993</v>
      </c>
      <c r="Z268" t="s">
        <v>994</v>
      </c>
      <c r="AC268">
        <f t="shared" si="82"/>
        <v>100</v>
      </c>
      <c r="AM268">
        <f>AM267+125</f>
        <v>775</v>
      </c>
    </row>
    <row r="270" spans="19:59">
      <c r="T270" s="71" t="s">
        <v>995</v>
      </c>
      <c r="U270">
        <v>1980</v>
      </c>
      <c r="V270" t="s">
        <v>996</v>
      </c>
      <c r="W270" t="s">
        <v>996</v>
      </c>
      <c r="Y270" t="s">
        <v>997</v>
      </c>
      <c r="Z270" t="s">
        <v>998</v>
      </c>
      <c r="AC270">
        <f>AC265+8</f>
        <v>78</v>
      </c>
      <c r="AM270">
        <v>500</v>
      </c>
    </row>
    <row r="271" spans="19:59">
      <c r="T271" s="71"/>
      <c r="U271">
        <v>1990</v>
      </c>
      <c r="V271" t="s">
        <v>999</v>
      </c>
      <c r="W271" t="s">
        <v>999</v>
      </c>
      <c r="Y271" t="s">
        <v>1000</v>
      </c>
      <c r="Z271" t="s">
        <v>1001</v>
      </c>
      <c r="AC271">
        <f t="shared" ref="AC271:AC273" si="84">AC266+8</f>
        <v>88</v>
      </c>
      <c r="AM271">
        <f>AM270+100</f>
        <v>600</v>
      </c>
    </row>
    <row r="272" spans="19:59">
      <c r="T272" s="71"/>
      <c r="U272">
        <v>2000</v>
      </c>
      <c r="V272" t="s">
        <v>1002</v>
      </c>
      <c r="W272" t="s">
        <v>1002</v>
      </c>
      <c r="Y272" t="s">
        <v>1003</v>
      </c>
      <c r="Z272" t="s">
        <v>1004</v>
      </c>
      <c r="AC272">
        <f t="shared" si="84"/>
        <v>98</v>
      </c>
      <c r="AM272">
        <f t="shared" ref="AM272" si="85">AM271+100</f>
        <v>700</v>
      </c>
    </row>
    <row r="273" spans="20:39">
      <c r="T273" s="71"/>
      <c r="U273">
        <v>2015</v>
      </c>
      <c r="V273" t="s">
        <v>1005</v>
      </c>
      <c r="W273" t="s">
        <v>1005</v>
      </c>
      <c r="Y273" t="s">
        <v>1006</v>
      </c>
      <c r="Z273" t="s">
        <v>1007</v>
      </c>
      <c r="AC273">
        <f t="shared" si="84"/>
        <v>108</v>
      </c>
      <c r="AM273">
        <f>AM272+125</f>
        <v>825</v>
      </c>
    </row>
    <row r="274" spans="20:39">
      <c r="T274" s="66"/>
    </row>
    <row r="275" spans="20:39">
      <c r="T275" s="71" t="s">
        <v>1008</v>
      </c>
      <c r="U275">
        <v>1942</v>
      </c>
      <c r="V275" t="s">
        <v>1009</v>
      </c>
      <c r="W275" t="s">
        <v>1010</v>
      </c>
      <c r="Y275" t="s">
        <v>1011</v>
      </c>
      <c r="Z275" t="s">
        <v>1012</v>
      </c>
      <c r="AC275">
        <v>25</v>
      </c>
      <c r="AE275">
        <v>5</v>
      </c>
      <c r="AM275" s="51">
        <v>200</v>
      </c>
    </row>
    <row r="276" spans="20:39">
      <c r="T276" s="71"/>
      <c r="U276">
        <v>1950</v>
      </c>
      <c r="V276" t="s">
        <v>1013</v>
      </c>
      <c r="W276" t="s">
        <v>1013</v>
      </c>
      <c r="Y276" t="s">
        <v>1014</v>
      </c>
      <c r="Z276" t="s">
        <v>1015</v>
      </c>
      <c r="AC276">
        <f>AC275+10</f>
        <v>35</v>
      </c>
      <c r="AE276">
        <f>AE275+2.5</f>
        <v>7.5</v>
      </c>
      <c r="AM276" s="52">
        <v>300</v>
      </c>
    </row>
    <row r="277" spans="20:39">
      <c r="T277" s="71"/>
      <c r="U277">
        <v>1960</v>
      </c>
      <c r="V277" t="s">
        <v>1016</v>
      </c>
      <c r="W277" t="s">
        <v>1016</v>
      </c>
      <c r="Y277" t="s">
        <v>1017</v>
      </c>
      <c r="Z277" t="s">
        <v>1018</v>
      </c>
      <c r="AC277">
        <f t="shared" ref="AC277:AC281" si="86">AC276+10</f>
        <v>45</v>
      </c>
      <c r="AE277">
        <f t="shared" ref="AE277:AE281" si="87">AE276+2.5</f>
        <v>10</v>
      </c>
      <c r="AM277" s="52">
        <v>400</v>
      </c>
    </row>
    <row r="278" spans="20:39">
      <c r="T278" s="71"/>
      <c r="U278">
        <v>1970</v>
      </c>
      <c r="V278" t="s">
        <v>1019</v>
      </c>
      <c r="W278" t="s">
        <v>1019</v>
      </c>
      <c r="Y278" t="s">
        <v>1020</v>
      </c>
      <c r="Z278" t="s">
        <v>1021</v>
      </c>
      <c r="AC278">
        <f t="shared" si="86"/>
        <v>55</v>
      </c>
      <c r="AE278">
        <f t="shared" si="87"/>
        <v>12.5</v>
      </c>
      <c r="AM278" s="52">
        <v>415</v>
      </c>
    </row>
    <row r="279" spans="20:39">
      <c r="T279" s="71"/>
      <c r="U279">
        <v>1980</v>
      </c>
      <c r="V279" t="s">
        <v>1022</v>
      </c>
      <c r="W279" t="s">
        <v>1022</v>
      </c>
      <c r="Y279" t="s">
        <v>1023</v>
      </c>
      <c r="Z279" t="s">
        <v>1024</v>
      </c>
      <c r="AC279">
        <f t="shared" si="86"/>
        <v>65</v>
      </c>
      <c r="AE279">
        <f t="shared" si="87"/>
        <v>15</v>
      </c>
      <c r="AM279" s="52">
        <v>430</v>
      </c>
    </row>
    <row r="280" spans="20:39">
      <c r="T280" s="71"/>
      <c r="U280">
        <v>1990</v>
      </c>
      <c r="V280" t="s">
        <v>1025</v>
      </c>
      <c r="W280" t="s">
        <v>1025</v>
      </c>
      <c r="Y280" t="s">
        <v>1026</v>
      </c>
      <c r="Z280" t="s">
        <v>1027</v>
      </c>
      <c r="AC280">
        <f>AC279+10</f>
        <v>75</v>
      </c>
      <c r="AE280">
        <f t="shared" si="87"/>
        <v>17.5</v>
      </c>
      <c r="AM280" s="52">
        <v>445</v>
      </c>
    </row>
    <row r="281" spans="20:39">
      <c r="T281" s="71"/>
      <c r="U281">
        <v>2000</v>
      </c>
      <c r="V281" t="s">
        <v>1028</v>
      </c>
      <c r="W281" t="s">
        <v>1028</v>
      </c>
      <c r="Y281" t="s">
        <v>1029</v>
      </c>
      <c r="Z281" t="s">
        <v>1030</v>
      </c>
      <c r="AC281">
        <f t="shared" si="86"/>
        <v>85</v>
      </c>
      <c r="AE281">
        <f t="shared" si="87"/>
        <v>20</v>
      </c>
      <c r="AM281" s="52">
        <v>460</v>
      </c>
    </row>
    <row r="282" spans="20:39">
      <c r="T282" s="66"/>
    </row>
    <row r="283" spans="20:39">
      <c r="T283" s="71" t="s">
        <v>1031</v>
      </c>
      <c r="U283">
        <v>1985</v>
      </c>
      <c r="V283" t="s">
        <v>1032</v>
      </c>
      <c r="W283" t="s">
        <v>1032</v>
      </c>
      <c r="Y283" t="s">
        <v>1033</v>
      </c>
      <c r="Z283" t="s">
        <v>1034</v>
      </c>
      <c r="AC283">
        <f>AC279+2</f>
        <v>67</v>
      </c>
      <c r="AE283">
        <v>12.5</v>
      </c>
      <c r="AM283">
        <v>475</v>
      </c>
    </row>
    <row r="284" spans="20:39">
      <c r="T284" s="71"/>
      <c r="U284">
        <v>1995</v>
      </c>
      <c r="V284" t="s">
        <v>1035</v>
      </c>
      <c r="W284" t="s">
        <v>1035</v>
      </c>
      <c r="Y284" t="s">
        <v>1036</v>
      </c>
      <c r="Z284" t="s">
        <v>1037</v>
      </c>
      <c r="AC284">
        <f t="shared" ref="AC284:AC285" si="88">AC280+2</f>
        <v>77</v>
      </c>
      <c r="AE284">
        <f>AE283+2.5</f>
        <v>15</v>
      </c>
      <c r="AM284">
        <v>490</v>
      </c>
    </row>
    <row r="285" spans="20:39">
      <c r="T285" s="71"/>
      <c r="U285">
        <v>2005</v>
      </c>
      <c r="V285" t="s">
        <v>1038</v>
      </c>
      <c r="W285" t="s">
        <v>1038</v>
      </c>
      <c r="Y285" t="s">
        <v>1039</v>
      </c>
      <c r="Z285" t="s">
        <v>1040</v>
      </c>
      <c r="AC285">
        <f t="shared" si="88"/>
        <v>87</v>
      </c>
      <c r="AE285">
        <f t="shared" ref="AE285" si="89">AE284+2.5</f>
        <v>17.5</v>
      </c>
      <c r="AM285">
        <v>505</v>
      </c>
    </row>
    <row r="286" spans="20:39">
      <c r="T286" s="66"/>
    </row>
    <row r="287" spans="20:39">
      <c r="T287" s="71" t="s">
        <v>1041</v>
      </c>
      <c r="U287">
        <v>1985</v>
      </c>
      <c r="V287" t="s">
        <v>1042</v>
      </c>
      <c r="W287" t="s">
        <v>1042</v>
      </c>
      <c r="Y287" t="s">
        <v>1043</v>
      </c>
      <c r="Z287" t="s">
        <v>1044</v>
      </c>
      <c r="AC287">
        <f>AC279-7.5</f>
        <v>57.5</v>
      </c>
      <c r="AE287">
        <f>AE279+7.5</f>
        <v>22.5</v>
      </c>
      <c r="AM287">
        <v>400</v>
      </c>
    </row>
    <row r="288" spans="20:39">
      <c r="T288" s="71"/>
      <c r="U288">
        <v>1995</v>
      </c>
      <c r="V288" t="s">
        <v>1045</v>
      </c>
      <c r="W288" t="s">
        <v>1045</v>
      </c>
      <c r="Y288" t="s">
        <v>1046</v>
      </c>
      <c r="Z288" t="s">
        <v>1047</v>
      </c>
      <c r="AC288">
        <f>AC287+5</f>
        <v>62.5</v>
      </c>
      <c r="AE288">
        <f>AE287+2.5</f>
        <v>25</v>
      </c>
      <c r="AM288">
        <v>410</v>
      </c>
    </row>
    <row r="289" spans="20:39">
      <c r="T289" s="71"/>
      <c r="U289">
        <v>2005</v>
      </c>
      <c r="V289" t="s">
        <v>1048</v>
      </c>
      <c r="W289" t="s">
        <v>1048</v>
      </c>
      <c r="Y289" t="s">
        <v>1049</v>
      </c>
      <c r="Z289" t="s">
        <v>1050</v>
      </c>
      <c r="AC289">
        <f>AC288+5</f>
        <v>67.5</v>
      </c>
      <c r="AE289">
        <f>AE288+2.5</f>
        <v>27.5</v>
      </c>
      <c r="AM289">
        <v>420</v>
      </c>
    </row>
    <row r="290" spans="20:39">
      <c r="T290" s="66"/>
    </row>
    <row r="291" spans="20:39">
      <c r="T291" s="66" t="s">
        <v>1051</v>
      </c>
      <c r="U291">
        <v>1955</v>
      </c>
      <c r="V291" t="s">
        <v>1052</v>
      </c>
      <c r="W291" t="s">
        <v>1052</v>
      </c>
      <c r="Y291" t="s">
        <v>1053</v>
      </c>
      <c r="Z291" t="s">
        <v>1054</v>
      </c>
      <c r="AC291">
        <v>35</v>
      </c>
      <c r="AE291">
        <v>12.5</v>
      </c>
      <c r="AM291">
        <v>120</v>
      </c>
    </row>
    <row r="292" spans="20:39">
      <c r="T292" s="66"/>
    </row>
    <row r="293" spans="20:39">
      <c r="T293" s="71" t="s">
        <v>1055</v>
      </c>
      <c r="U293">
        <v>1965</v>
      </c>
      <c r="V293" t="s">
        <v>1056</v>
      </c>
      <c r="W293" t="s">
        <v>1057</v>
      </c>
      <c r="Y293" t="s">
        <v>1058</v>
      </c>
      <c r="Z293" t="s">
        <v>1059</v>
      </c>
      <c r="AC293">
        <v>75</v>
      </c>
      <c r="AE293">
        <v>2.5</v>
      </c>
      <c r="AM293" s="51">
        <v>400</v>
      </c>
    </row>
    <row r="294" spans="20:39">
      <c r="T294" s="71"/>
      <c r="U294">
        <v>1975</v>
      </c>
      <c r="V294" t="s">
        <v>1060</v>
      </c>
      <c r="W294" t="s">
        <v>1061</v>
      </c>
      <c r="Y294" t="s">
        <v>1062</v>
      </c>
      <c r="Z294" t="s">
        <v>1063</v>
      </c>
      <c r="AC294">
        <v>85</v>
      </c>
      <c r="AE294">
        <f>AE293+1.5</f>
        <v>4</v>
      </c>
      <c r="AM294" s="52">
        <v>500</v>
      </c>
    </row>
    <row r="295" spans="20:39">
      <c r="T295" s="71"/>
      <c r="U295">
        <v>1985</v>
      </c>
      <c r="V295" t="s">
        <v>1064</v>
      </c>
      <c r="W295" t="s">
        <v>1065</v>
      </c>
      <c r="Y295" t="s">
        <v>1066</v>
      </c>
      <c r="Z295" t="s">
        <v>1067</v>
      </c>
      <c r="AC295">
        <v>95</v>
      </c>
      <c r="AE295">
        <f t="shared" ref="AE295:AE296" si="90">AE294+1.5</f>
        <v>5.5</v>
      </c>
      <c r="AM295" s="52">
        <v>600</v>
      </c>
    </row>
    <row r="296" spans="20:39">
      <c r="T296" s="71"/>
      <c r="U296">
        <v>1995</v>
      </c>
      <c r="V296" t="s">
        <v>1068</v>
      </c>
      <c r="W296" t="s">
        <v>1069</v>
      </c>
      <c r="Y296" t="s">
        <v>1070</v>
      </c>
      <c r="Z296" t="s">
        <v>1071</v>
      </c>
      <c r="AC296">
        <v>105</v>
      </c>
      <c r="AE296">
        <f t="shared" si="90"/>
        <v>7</v>
      </c>
      <c r="AM296" s="52">
        <v>700</v>
      </c>
    </row>
    <row r="298" spans="20:39">
      <c r="T298" s="71" t="s">
        <v>1072</v>
      </c>
      <c r="U298">
        <v>1942</v>
      </c>
      <c r="V298" t="s">
        <v>1073</v>
      </c>
      <c r="W298" t="s">
        <v>1073</v>
      </c>
      <c r="Y298" t="s">
        <v>1074</v>
      </c>
      <c r="Z298" t="s">
        <v>1075</v>
      </c>
      <c r="AC298">
        <v>2.5</v>
      </c>
      <c r="AE298">
        <v>15</v>
      </c>
      <c r="AM298" s="58">
        <v>20</v>
      </c>
    </row>
    <row r="299" spans="20:39">
      <c r="T299" s="71"/>
      <c r="U299">
        <v>1955</v>
      </c>
      <c r="V299" t="s">
        <v>1076</v>
      </c>
      <c r="W299" t="s">
        <v>1076</v>
      </c>
      <c r="Y299" t="s">
        <v>1077</v>
      </c>
      <c r="Z299" t="s">
        <v>1078</v>
      </c>
      <c r="AC299">
        <f>AC298+2.5</f>
        <v>5</v>
      </c>
      <c r="AE299">
        <f>AE298+5</f>
        <v>20</v>
      </c>
      <c r="AM299" s="58">
        <v>25</v>
      </c>
    </row>
    <row r="300" spans="20:39">
      <c r="T300" s="71"/>
      <c r="U300">
        <v>1970</v>
      </c>
      <c r="V300" t="s">
        <v>1079</v>
      </c>
      <c r="W300" t="s">
        <v>1079</v>
      </c>
      <c r="Y300" t="s">
        <v>1080</v>
      </c>
      <c r="Z300" t="s">
        <v>1081</v>
      </c>
      <c r="AC300">
        <f t="shared" ref="AC300:AC302" si="91">AC299+2.5</f>
        <v>7.5</v>
      </c>
      <c r="AE300">
        <f t="shared" ref="AE300:AE302" si="92">AE299+5</f>
        <v>25</v>
      </c>
      <c r="AM300" s="58">
        <v>30</v>
      </c>
    </row>
    <row r="301" spans="20:39">
      <c r="T301" s="71"/>
      <c r="U301">
        <v>1985</v>
      </c>
      <c r="V301" t="s">
        <v>1082</v>
      </c>
      <c r="W301" t="s">
        <v>1082</v>
      </c>
      <c r="Y301" t="s">
        <v>1083</v>
      </c>
      <c r="Z301" t="s">
        <v>1084</v>
      </c>
      <c r="AC301">
        <f t="shared" si="91"/>
        <v>10</v>
      </c>
      <c r="AE301">
        <f t="shared" si="92"/>
        <v>30</v>
      </c>
      <c r="AM301" s="58">
        <v>35</v>
      </c>
    </row>
    <row r="302" spans="20:39">
      <c r="T302" s="71"/>
      <c r="U302">
        <v>2015</v>
      </c>
      <c r="V302" t="s">
        <v>1085</v>
      </c>
      <c r="W302" t="s">
        <v>1085</v>
      </c>
      <c r="Y302" t="s">
        <v>1086</v>
      </c>
      <c r="Z302" t="s">
        <v>1087</v>
      </c>
      <c r="AC302">
        <f t="shared" si="91"/>
        <v>12.5</v>
      </c>
      <c r="AE302">
        <f t="shared" si="92"/>
        <v>35</v>
      </c>
      <c r="AM302" s="58">
        <v>40</v>
      </c>
    </row>
    <row r="306" spans="19:19">
      <c r="S306" t="s">
        <v>1088</v>
      </c>
    </row>
    <row r="308" spans="19:19">
      <c r="S308" t="s">
        <v>1089</v>
      </c>
    </row>
  </sheetData>
  <mergeCells count="98">
    <mergeCell ref="X32:Y32"/>
    <mergeCell ref="Z1:Z2"/>
    <mergeCell ref="AA1:BB1"/>
    <mergeCell ref="BC1:BG1"/>
    <mergeCell ref="S3:S29"/>
    <mergeCell ref="T3:T12"/>
    <mergeCell ref="T14:T23"/>
    <mergeCell ref="T25:T29"/>
    <mergeCell ref="S1:S2"/>
    <mergeCell ref="T1:T2"/>
    <mergeCell ref="U1:U2"/>
    <mergeCell ref="V1:V2"/>
    <mergeCell ref="W1:W2"/>
    <mergeCell ref="X1:Y1"/>
    <mergeCell ref="X82:Y82"/>
    <mergeCell ref="Z32:Z33"/>
    <mergeCell ref="AA32:BB32"/>
    <mergeCell ref="BC32:BG32"/>
    <mergeCell ref="S34:S79"/>
    <mergeCell ref="T34:T47"/>
    <mergeCell ref="T49:T55"/>
    <mergeCell ref="T57:T61"/>
    <mergeCell ref="T63:T68"/>
    <mergeCell ref="T70:T75"/>
    <mergeCell ref="T77:T79"/>
    <mergeCell ref="S32:S33"/>
    <mergeCell ref="T32:T33"/>
    <mergeCell ref="U32:U33"/>
    <mergeCell ref="V32:V33"/>
    <mergeCell ref="W32:W33"/>
    <mergeCell ref="T158:T159"/>
    <mergeCell ref="Z82:Z83"/>
    <mergeCell ref="AA82:BB82"/>
    <mergeCell ref="BC82:BG82"/>
    <mergeCell ref="S84:S155"/>
    <mergeCell ref="T84:T94"/>
    <mergeCell ref="T96:T98"/>
    <mergeCell ref="T100:T105"/>
    <mergeCell ref="T107:T111"/>
    <mergeCell ref="T113:T120"/>
    <mergeCell ref="T122:T124"/>
    <mergeCell ref="S82:S83"/>
    <mergeCell ref="T82:T83"/>
    <mergeCell ref="U82:U83"/>
    <mergeCell ref="V82:V83"/>
    <mergeCell ref="W82:W83"/>
    <mergeCell ref="T126:T127"/>
    <mergeCell ref="T129:T134"/>
    <mergeCell ref="T136:T142"/>
    <mergeCell ref="T144:T147"/>
    <mergeCell ref="T149:T155"/>
    <mergeCell ref="BC158:BG158"/>
    <mergeCell ref="S160:S206"/>
    <mergeCell ref="T160:T166"/>
    <mergeCell ref="T168:T171"/>
    <mergeCell ref="T173:T176"/>
    <mergeCell ref="T178:T184"/>
    <mergeCell ref="T186:T189"/>
    <mergeCell ref="T191:T198"/>
    <mergeCell ref="T200:T206"/>
    <mergeCell ref="U158:U159"/>
    <mergeCell ref="V158:V159"/>
    <mergeCell ref="W158:W159"/>
    <mergeCell ref="X158:Y158"/>
    <mergeCell ref="Z158:Z159"/>
    <mergeCell ref="AA158:BB158"/>
    <mergeCell ref="S158:S159"/>
    <mergeCell ref="Z209:Z210"/>
    <mergeCell ref="AA209:BB209"/>
    <mergeCell ref="BC209:BG209"/>
    <mergeCell ref="S211:S255"/>
    <mergeCell ref="T211:T220"/>
    <mergeCell ref="T222:T237"/>
    <mergeCell ref="T239:T242"/>
    <mergeCell ref="T248:T250"/>
    <mergeCell ref="T252:T255"/>
    <mergeCell ref="S209:S210"/>
    <mergeCell ref="T209:T210"/>
    <mergeCell ref="U209:U210"/>
    <mergeCell ref="V209:V210"/>
    <mergeCell ref="W209:W210"/>
    <mergeCell ref="X209:Y209"/>
    <mergeCell ref="S258:S259"/>
    <mergeCell ref="T258:T259"/>
    <mergeCell ref="U258:U259"/>
    <mergeCell ref="V258:V259"/>
    <mergeCell ref="W258:W259"/>
    <mergeCell ref="AA258:BB258"/>
    <mergeCell ref="BC258:BG258"/>
    <mergeCell ref="T260:T268"/>
    <mergeCell ref="T270:T273"/>
    <mergeCell ref="T275:T281"/>
    <mergeCell ref="X258:Y258"/>
    <mergeCell ref="T283:T285"/>
    <mergeCell ref="T287:T289"/>
    <mergeCell ref="T293:T296"/>
    <mergeCell ref="T298:T302"/>
    <mergeCell ref="Z258:Z2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2837-4A68-450D-BF61-302C66FA0F5F}">
  <dimension ref="A1:AF52"/>
  <sheetViews>
    <sheetView workbookViewId="0">
      <pane ySplit="2" topLeftCell="A26" activePane="bottomLeft" state="frozen"/>
      <selection pane="bottomLeft" activeCell="A26" sqref="A26"/>
    </sheetView>
  </sheetViews>
  <sheetFormatPr defaultRowHeight="15"/>
  <cols>
    <col min="1" max="1" width="22.5703125" customWidth="1"/>
    <col min="2" max="2" width="11" customWidth="1"/>
    <col min="3" max="3" width="38.85546875" customWidth="1"/>
    <col min="4" max="4" width="25.5703125" customWidth="1"/>
    <col min="5" max="5" width="15.42578125" customWidth="1"/>
    <col min="6" max="7" width="14.85546875" customWidth="1"/>
    <col min="8" max="8" width="12.5703125" hidden="1" customWidth="1"/>
    <col min="9" max="9" width="13.5703125" hidden="1" customWidth="1"/>
    <col min="10" max="10" width="11.5703125" hidden="1" customWidth="1"/>
    <col min="11" max="11" width="12.85546875" hidden="1" customWidth="1"/>
    <col min="12" max="12" width="14.28515625" customWidth="1"/>
    <col min="13" max="13" width="15.42578125" customWidth="1"/>
    <col min="15" max="15" width="11.140625" customWidth="1"/>
    <col min="16" max="16" width="13.5703125" customWidth="1"/>
    <col min="17" max="17" width="13.28515625" customWidth="1"/>
    <col min="21" max="21" width="21.28515625" hidden="1" customWidth="1"/>
    <col min="22" max="22" width="22.5703125" hidden="1" customWidth="1"/>
    <col min="23" max="23" width="16" customWidth="1"/>
    <col min="24" max="24" width="19" customWidth="1"/>
    <col min="25" max="25" width="15" customWidth="1"/>
    <col min="26" max="26" width="16.7109375" customWidth="1"/>
    <col min="27" max="28" width="15.7109375" customWidth="1"/>
    <col min="29" max="29" width="19.28515625" customWidth="1"/>
    <col min="30" max="30" width="12.42578125" customWidth="1"/>
    <col min="31" max="31" width="16.7109375" customWidth="1"/>
    <col min="32" max="32" width="15.85546875" customWidth="1"/>
  </cols>
  <sheetData>
    <row r="1" spans="1:32">
      <c r="A1" s="74" t="s">
        <v>2</v>
      </c>
      <c r="B1" s="74" t="s">
        <v>3</v>
      </c>
      <c r="C1" s="74" t="s">
        <v>240</v>
      </c>
      <c r="D1" s="74"/>
      <c r="E1" s="74" t="s">
        <v>5</v>
      </c>
      <c r="F1" s="72" t="s">
        <v>121</v>
      </c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5" t="s">
        <v>241</v>
      </c>
      <c r="AC1" s="75"/>
      <c r="AD1" s="75"/>
      <c r="AE1" s="75"/>
      <c r="AF1" s="75"/>
    </row>
    <row r="2" spans="1:32">
      <c r="A2" s="74"/>
      <c r="B2" s="74"/>
      <c r="C2" s="70" t="s">
        <v>242</v>
      </c>
      <c r="D2" s="70" t="s">
        <v>243</v>
      </c>
      <c r="E2" s="74"/>
      <c r="F2" s="66" t="s">
        <v>244</v>
      </c>
      <c r="G2" s="66" t="s">
        <v>245</v>
      </c>
      <c r="H2" s="66" t="s">
        <v>124</v>
      </c>
      <c r="I2" s="66" t="s">
        <v>246</v>
      </c>
      <c r="J2" s="66" t="s">
        <v>125</v>
      </c>
      <c r="K2" s="66" t="s">
        <v>247</v>
      </c>
      <c r="L2" s="66" t="s">
        <v>248</v>
      </c>
      <c r="M2" s="66" t="s">
        <v>249</v>
      </c>
      <c r="N2" s="66" t="s">
        <v>250</v>
      </c>
      <c r="O2" s="66" t="s">
        <v>251</v>
      </c>
      <c r="P2" s="66" t="s">
        <v>127</v>
      </c>
      <c r="Q2" s="66" t="s">
        <v>252</v>
      </c>
      <c r="R2" s="66" t="s">
        <v>8</v>
      </c>
      <c r="S2" s="66" t="s">
        <v>253</v>
      </c>
      <c r="T2" s="66" t="s">
        <v>112</v>
      </c>
      <c r="U2" s="66" t="s">
        <v>254</v>
      </c>
      <c r="V2" s="66" t="s">
        <v>255</v>
      </c>
      <c r="W2" s="66" t="s">
        <v>256</v>
      </c>
      <c r="X2" s="66" t="s">
        <v>257</v>
      </c>
      <c r="Y2" s="23" t="s">
        <v>9</v>
      </c>
      <c r="Z2" s="66" t="s">
        <v>258</v>
      </c>
      <c r="AA2" s="66" t="s">
        <v>259</v>
      </c>
      <c r="AB2" s="66" t="s">
        <v>260</v>
      </c>
      <c r="AC2" s="66" t="s">
        <v>261</v>
      </c>
      <c r="AD2" s="66" t="s">
        <v>262</v>
      </c>
      <c r="AE2" s="66" t="s">
        <v>263</v>
      </c>
      <c r="AF2" s="66" t="s">
        <v>264</v>
      </c>
    </row>
    <row r="3" spans="1:32">
      <c r="A3" s="97" t="s">
        <v>523</v>
      </c>
      <c r="B3" s="15">
        <v>1939</v>
      </c>
      <c r="C3" s="15" t="s">
        <v>524</v>
      </c>
      <c r="D3" s="15" t="s">
        <v>524</v>
      </c>
      <c r="E3" s="15" t="s">
        <v>526</v>
      </c>
      <c r="F3" s="15"/>
      <c r="G3" s="15"/>
      <c r="H3" s="15"/>
      <c r="I3" s="15"/>
      <c r="J3" s="15"/>
      <c r="K3" s="15"/>
      <c r="L3" s="15">
        <v>2</v>
      </c>
      <c r="M3" s="15"/>
      <c r="N3" s="15">
        <v>2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25"/>
      <c r="Z3" s="15"/>
      <c r="AA3">
        <v>5</v>
      </c>
      <c r="AC3">
        <v>2</v>
      </c>
    </row>
    <row r="4" spans="1:32" s="41" customFormat="1">
      <c r="A4" s="97"/>
      <c r="B4" s="41">
        <v>1939</v>
      </c>
      <c r="C4" s="41" t="s">
        <v>1090</v>
      </c>
      <c r="D4" s="41" t="s">
        <v>1090</v>
      </c>
      <c r="E4" s="41" t="s">
        <v>1091</v>
      </c>
      <c r="F4" s="42">
        <v>-0.05</v>
      </c>
      <c r="G4" s="42">
        <v>-0.1</v>
      </c>
      <c r="L4" s="41">
        <f>L3-1</f>
        <v>1</v>
      </c>
      <c r="M4" s="42">
        <f>M3-10%</f>
        <v>-0.1</v>
      </c>
      <c r="N4" s="41">
        <f>N3-1</f>
        <v>1</v>
      </c>
      <c r="O4" s="42">
        <f>O3-10%</f>
        <v>-0.1</v>
      </c>
      <c r="S4" s="42">
        <f>S3-20%</f>
        <v>-0.2</v>
      </c>
      <c r="Y4" s="41">
        <f>Y3+1</f>
        <v>1</v>
      </c>
      <c r="Z4" s="42"/>
      <c r="AA4" s="41">
        <f>AA3-1</f>
        <v>4</v>
      </c>
      <c r="AC4" s="41">
        <v>2</v>
      </c>
    </row>
    <row r="5" spans="1:32">
      <c r="A5" s="97"/>
      <c r="B5">
        <v>1939</v>
      </c>
      <c r="C5" t="s">
        <v>528</v>
      </c>
      <c r="D5" t="s">
        <v>528</v>
      </c>
      <c r="E5" t="s">
        <v>529</v>
      </c>
      <c r="L5">
        <f>L3-0.25</f>
        <v>1.75</v>
      </c>
      <c r="N5">
        <f>N3-0.25</f>
        <v>1.75</v>
      </c>
      <c r="S5" s="27">
        <f>S3-10%</f>
        <v>-0.1</v>
      </c>
      <c r="Y5" s="24">
        <f>Y3-1.5</f>
        <v>-1.5</v>
      </c>
      <c r="Z5" s="27"/>
      <c r="AA5">
        <f>AA3+1</f>
        <v>6</v>
      </c>
      <c r="AC5">
        <v>2</v>
      </c>
    </row>
    <row r="6" spans="1:32">
      <c r="A6" s="97"/>
      <c r="B6">
        <v>1955</v>
      </c>
      <c r="C6" t="s">
        <v>531</v>
      </c>
      <c r="D6" t="s">
        <v>531</v>
      </c>
      <c r="E6" t="s">
        <v>533</v>
      </c>
      <c r="L6">
        <f>L3+0.25</f>
        <v>2.25</v>
      </c>
      <c r="N6">
        <f>N3+0.25</f>
        <v>2.25</v>
      </c>
      <c r="P6">
        <v>0.2</v>
      </c>
      <c r="Q6" s="27"/>
      <c r="S6" s="27">
        <f>S3+25%</f>
        <v>0.25</v>
      </c>
      <c r="Y6" s="24">
        <f>Y3+1.5</f>
        <v>1.5</v>
      </c>
      <c r="AA6">
        <f>AA3+0.5</f>
        <v>5.5</v>
      </c>
      <c r="AC6">
        <v>2</v>
      </c>
    </row>
    <row r="7" spans="1:32">
      <c r="A7" s="97"/>
      <c r="B7">
        <v>1955</v>
      </c>
      <c r="C7" t="s">
        <v>532</v>
      </c>
      <c r="D7" t="s">
        <v>532</v>
      </c>
      <c r="E7" t="s">
        <v>536</v>
      </c>
      <c r="F7" s="27">
        <v>-0.05</v>
      </c>
      <c r="L7">
        <f>L3+0.5</f>
        <v>2.5</v>
      </c>
      <c r="N7">
        <f>N3+0.5</f>
        <v>2.5</v>
      </c>
      <c r="P7">
        <v>-0.4</v>
      </c>
      <c r="S7" s="27">
        <f>S3+50%</f>
        <v>0.5</v>
      </c>
      <c r="Y7" s="24">
        <f>Y6+0.5</f>
        <v>2</v>
      </c>
      <c r="AA7">
        <f>AA6+1</f>
        <v>6.5</v>
      </c>
      <c r="AC7">
        <v>1</v>
      </c>
      <c r="AD7">
        <v>1</v>
      </c>
    </row>
    <row r="8" spans="1:32">
      <c r="A8" s="97"/>
      <c r="B8">
        <v>1965</v>
      </c>
      <c r="C8" t="s">
        <v>538</v>
      </c>
      <c r="D8" t="s">
        <v>538</v>
      </c>
      <c r="E8" t="s">
        <v>540</v>
      </c>
      <c r="L8">
        <f>L7+0.5</f>
        <v>3</v>
      </c>
      <c r="N8">
        <f>N7+0.5</f>
        <v>3</v>
      </c>
      <c r="P8">
        <f>P7</f>
        <v>-0.4</v>
      </c>
      <c r="S8" s="27">
        <f>S3+75%</f>
        <v>0.75</v>
      </c>
      <c r="Y8" s="24">
        <f>Y7+0.5</f>
        <v>2.5</v>
      </c>
      <c r="AA8">
        <f>AA7-0.5</f>
        <v>6</v>
      </c>
      <c r="AC8">
        <v>1</v>
      </c>
      <c r="AD8">
        <v>1</v>
      </c>
    </row>
    <row r="9" spans="1:32">
      <c r="A9" s="97"/>
      <c r="B9">
        <v>1975</v>
      </c>
      <c r="C9" t="s">
        <v>542</v>
      </c>
      <c r="D9" t="s">
        <v>543</v>
      </c>
      <c r="E9" t="s">
        <v>544</v>
      </c>
      <c r="L9">
        <f>L8+0.5</f>
        <v>3.5</v>
      </c>
      <c r="N9">
        <f>N8+0.5</f>
        <v>3.5</v>
      </c>
      <c r="P9">
        <f>P8-0.2</f>
        <v>-0.60000000000000009</v>
      </c>
      <c r="S9" s="27">
        <f>S3+100%</f>
        <v>1</v>
      </c>
      <c r="Y9" s="24">
        <f>Y8+0.5</f>
        <v>3</v>
      </c>
      <c r="AA9">
        <f>AA8-0.5</f>
        <v>5.5</v>
      </c>
      <c r="AC9">
        <v>2</v>
      </c>
      <c r="AD9">
        <v>1</v>
      </c>
    </row>
    <row r="10" spans="1:32">
      <c r="A10" s="97"/>
      <c r="B10">
        <v>1985</v>
      </c>
      <c r="C10" t="s">
        <v>546</v>
      </c>
      <c r="D10" t="s">
        <v>547</v>
      </c>
      <c r="E10" t="s">
        <v>548</v>
      </c>
      <c r="L10">
        <f>L9+0.5</f>
        <v>4</v>
      </c>
      <c r="N10">
        <f>N9+0.5</f>
        <v>4</v>
      </c>
      <c r="P10">
        <f>P9-0.2</f>
        <v>-0.8</v>
      </c>
      <c r="S10" s="27">
        <f>S9+25%</f>
        <v>1.25</v>
      </c>
      <c r="Y10" s="24">
        <f>Y9+0.5</f>
        <v>3.5</v>
      </c>
      <c r="AA10">
        <f>AA9-0.5</f>
        <v>5</v>
      </c>
      <c r="AC10">
        <v>2</v>
      </c>
      <c r="AD10">
        <v>1</v>
      </c>
    </row>
    <row r="11" spans="1:32">
      <c r="A11" s="97"/>
      <c r="B11">
        <v>1995</v>
      </c>
      <c r="C11" t="s">
        <v>550</v>
      </c>
      <c r="D11" t="s">
        <v>551</v>
      </c>
      <c r="E11" t="s">
        <v>552</v>
      </c>
      <c r="L11">
        <f>L10+0.5</f>
        <v>4.5</v>
      </c>
      <c r="N11">
        <f>N10+0.5</f>
        <v>4.5</v>
      </c>
      <c r="P11">
        <f>P10-0.2</f>
        <v>-1</v>
      </c>
      <c r="S11" s="27">
        <f>S10+25%</f>
        <v>1.5</v>
      </c>
      <c r="Y11" s="24">
        <f>Y10+0.5</f>
        <v>4</v>
      </c>
      <c r="AA11">
        <f>AA10-0.5</f>
        <v>4.5</v>
      </c>
      <c r="AC11">
        <v>2</v>
      </c>
      <c r="AD11">
        <v>1</v>
      </c>
    </row>
    <row r="12" spans="1:32">
      <c r="A12" s="97"/>
      <c r="B12">
        <v>2010</v>
      </c>
      <c r="C12" t="s">
        <v>553</v>
      </c>
      <c r="D12" t="s">
        <v>554</v>
      </c>
      <c r="E12" t="s">
        <v>555</v>
      </c>
      <c r="L12">
        <f>L11+0.5</f>
        <v>5</v>
      </c>
      <c r="N12">
        <f>N11+0.5</f>
        <v>5</v>
      </c>
      <c r="P12">
        <f>P11-0.2</f>
        <v>-1.2</v>
      </c>
      <c r="S12" s="27">
        <f>S11+25%</f>
        <v>1.75</v>
      </c>
      <c r="Y12" s="24">
        <f>Y11+0.5</f>
        <v>4.5</v>
      </c>
      <c r="AA12">
        <f>AA11-0.5</f>
        <v>4</v>
      </c>
      <c r="AC12">
        <v>2</v>
      </c>
      <c r="AD12">
        <v>1</v>
      </c>
    </row>
    <row r="13" spans="1:32">
      <c r="A13" s="97"/>
      <c r="B13">
        <v>1985</v>
      </c>
      <c r="C13" t="s">
        <v>556</v>
      </c>
      <c r="D13" t="s">
        <v>557</v>
      </c>
      <c r="E13" t="s">
        <v>558</v>
      </c>
      <c r="L13">
        <f>L8+0.75</f>
        <v>3.75</v>
      </c>
      <c r="N13">
        <f>N8+0.75</f>
        <v>3.75</v>
      </c>
      <c r="P13">
        <f>P9-0.3</f>
        <v>-0.90000000000000013</v>
      </c>
      <c r="S13" s="27">
        <f>S3+135%</f>
        <v>1.35</v>
      </c>
      <c r="Y13" s="24">
        <f>Y9+0.75</f>
        <v>3.75</v>
      </c>
      <c r="AA13">
        <f>AA9</f>
        <v>5.5</v>
      </c>
      <c r="AC13">
        <v>2</v>
      </c>
      <c r="AD13">
        <v>1</v>
      </c>
    </row>
    <row r="14" spans="1:32">
      <c r="A14" s="97"/>
      <c r="B14">
        <v>1995</v>
      </c>
      <c r="C14" t="s">
        <v>559</v>
      </c>
      <c r="D14" t="s">
        <v>560</v>
      </c>
      <c r="E14" t="s">
        <v>561</v>
      </c>
      <c r="L14">
        <f>L13+0.75</f>
        <v>4.5</v>
      </c>
      <c r="N14">
        <f>N13+0.75</f>
        <v>4.5</v>
      </c>
      <c r="P14">
        <f>P13-0.3</f>
        <v>-1.2000000000000002</v>
      </c>
      <c r="S14" s="27">
        <f>S13+25%</f>
        <v>1.6</v>
      </c>
      <c r="Y14" s="24">
        <f>Y13+0.75</f>
        <v>4.5</v>
      </c>
      <c r="AA14">
        <f>AA10</f>
        <v>5</v>
      </c>
      <c r="AC14">
        <v>2</v>
      </c>
      <c r="AD14">
        <v>1</v>
      </c>
    </row>
    <row r="15" spans="1:32">
      <c r="A15" s="97"/>
      <c r="B15">
        <v>2010</v>
      </c>
      <c r="C15" t="s">
        <v>562</v>
      </c>
      <c r="D15" t="s">
        <v>563</v>
      </c>
      <c r="E15" t="s">
        <v>564</v>
      </c>
      <c r="L15">
        <f>L14+0.75</f>
        <v>5.25</v>
      </c>
      <c r="N15">
        <f>N14+0.75</f>
        <v>5.25</v>
      </c>
      <c r="P15">
        <f>P14-0.3</f>
        <v>-1.5000000000000002</v>
      </c>
      <c r="S15" s="27">
        <f>S14+25%</f>
        <v>1.85</v>
      </c>
      <c r="Y15" s="24">
        <f>Y14+0.75</f>
        <v>5.25</v>
      </c>
      <c r="AA15">
        <f>AA11</f>
        <v>4.5</v>
      </c>
      <c r="AC15">
        <v>2</v>
      </c>
      <c r="AD15">
        <v>1</v>
      </c>
    </row>
    <row r="16" spans="1:32">
      <c r="A16" s="97"/>
      <c r="B16">
        <v>1955</v>
      </c>
      <c r="C16" t="s">
        <v>565</v>
      </c>
      <c r="D16" t="s">
        <v>566</v>
      </c>
      <c r="E16" t="s">
        <v>1092</v>
      </c>
      <c r="F16" s="27">
        <v>0.05</v>
      </c>
      <c r="G16" s="38">
        <v>2.5000000000000001E-2</v>
      </c>
      <c r="L16">
        <f>L3-0.5</f>
        <v>1.5</v>
      </c>
      <c r="N16">
        <f>N3-0.5</f>
        <v>1.5</v>
      </c>
      <c r="P16">
        <v>2</v>
      </c>
      <c r="Q16" s="27"/>
      <c r="S16" s="27">
        <f>S3-15%</f>
        <v>-0.15</v>
      </c>
      <c r="Y16" s="24">
        <f>Y3+1</f>
        <v>1</v>
      </c>
      <c r="AA16">
        <f>AA3-3</f>
        <v>2</v>
      </c>
      <c r="AC16">
        <v>2</v>
      </c>
    </row>
    <row r="17" spans="1:32">
      <c r="A17" s="97"/>
      <c r="B17">
        <v>1965</v>
      </c>
      <c r="C17" t="s">
        <v>568</v>
      </c>
      <c r="D17" t="s">
        <v>569</v>
      </c>
      <c r="E17" t="s">
        <v>1093</v>
      </c>
      <c r="F17" s="27">
        <v>0.05</v>
      </c>
      <c r="G17" s="37">
        <f>G16+2.5%</f>
        <v>0.05</v>
      </c>
      <c r="L17">
        <f>L16+0.25</f>
        <v>1.75</v>
      </c>
      <c r="N17">
        <f>N16+0.25</f>
        <v>1.75</v>
      </c>
      <c r="P17">
        <v>1.5</v>
      </c>
      <c r="Q17" s="27"/>
      <c r="S17" s="27">
        <f>S16+5%</f>
        <v>-9.9999999999999992E-2</v>
      </c>
      <c r="Y17" s="24">
        <f>Y16+0.5</f>
        <v>1.5</v>
      </c>
      <c r="AA17">
        <f>AA16+0.5</f>
        <v>2.5</v>
      </c>
      <c r="AC17">
        <v>2</v>
      </c>
    </row>
    <row r="18" spans="1:32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</row>
    <row r="19" spans="1:32">
      <c r="A19" s="97" t="s">
        <v>1094</v>
      </c>
      <c r="B19" s="15">
        <v>1965</v>
      </c>
      <c r="C19" s="15" t="s">
        <v>572</v>
      </c>
      <c r="D19" s="15" t="s">
        <v>572</v>
      </c>
      <c r="E19" s="15" t="s">
        <v>573</v>
      </c>
      <c r="F19" s="15"/>
      <c r="G19" s="15"/>
      <c r="H19" s="15"/>
      <c r="I19" s="15"/>
      <c r="J19" s="15"/>
      <c r="K19" s="15"/>
      <c r="L19" s="15">
        <v>1</v>
      </c>
      <c r="M19" s="15"/>
      <c r="N19" s="15">
        <v>1</v>
      </c>
      <c r="O19" s="15"/>
      <c r="P19" s="15">
        <v>-0.2</v>
      </c>
      <c r="Q19" s="15"/>
      <c r="R19" s="15"/>
      <c r="S19" s="26">
        <v>0.2</v>
      </c>
      <c r="T19" s="15"/>
      <c r="U19" s="15"/>
      <c r="V19" s="15"/>
      <c r="W19" s="15"/>
      <c r="X19" s="15"/>
      <c r="Y19" s="25">
        <v>1.5</v>
      </c>
      <c r="Z19" s="15"/>
      <c r="AA19" s="15">
        <v>0.1</v>
      </c>
      <c r="AC19">
        <v>1</v>
      </c>
    </row>
    <row r="20" spans="1:32">
      <c r="A20" s="97"/>
      <c r="B20">
        <v>1975</v>
      </c>
      <c r="C20" t="s">
        <v>574</v>
      </c>
      <c r="D20" t="s">
        <v>575</v>
      </c>
      <c r="E20" t="s">
        <v>576</v>
      </c>
      <c r="L20">
        <f t="shared" ref="L20:L23" si="0">L19+0.5</f>
        <v>1.5</v>
      </c>
      <c r="N20">
        <f t="shared" ref="N20:N23" si="1">N19+0.5</f>
        <v>1.5</v>
      </c>
      <c r="P20">
        <f>P19-0.1</f>
        <v>-0.30000000000000004</v>
      </c>
      <c r="S20" s="27">
        <f>S19+10%</f>
        <v>0.30000000000000004</v>
      </c>
      <c r="Y20" s="24">
        <f>Y19+0.25</f>
        <v>1.75</v>
      </c>
      <c r="AA20">
        <f>AA19</f>
        <v>0.1</v>
      </c>
      <c r="AC20">
        <v>1</v>
      </c>
    </row>
    <row r="21" spans="1:32">
      <c r="A21" s="97"/>
      <c r="B21">
        <v>1985</v>
      </c>
      <c r="C21" t="s">
        <v>577</v>
      </c>
      <c r="D21" t="s">
        <v>578</v>
      </c>
      <c r="E21" t="s">
        <v>579</v>
      </c>
      <c r="L21">
        <f t="shared" si="0"/>
        <v>2</v>
      </c>
      <c r="N21">
        <f t="shared" si="1"/>
        <v>2</v>
      </c>
      <c r="P21">
        <f>P20-0.1</f>
        <v>-0.4</v>
      </c>
      <c r="S21" s="27">
        <f>S20+10%</f>
        <v>0.4</v>
      </c>
      <c r="Y21" s="24">
        <f>Y20+0.25</f>
        <v>2</v>
      </c>
      <c r="AA21">
        <f>AA20</f>
        <v>0.1</v>
      </c>
      <c r="AC21">
        <v>1</v>
      </c>
    </row>
    <row r="22" spans="1:32">
      <c r="A22" s="97"/>
      <c r="B22">
        <v>1995</v>
      </c>
      <c r="C22" t="s">
        <v>580</v>
      </c>
      <c r="D22" t="s">
        <v>581</v>
      </c>
      <c r="E22" t="s">
        <v>582</v>
      </c>
      <c r="L22">
        <f t="shared" si="0"/>
        <v>2.5</v>
      </c>
      <c r="N22">
        <f t="shared" si="1"/>
        <v>2.5</v>
      </c>
      <c r="P22">
        <f>P21-0.1</f>
        <v>-0.5</v>
      </c>
      <c r="S22" s="27">
        <f>S21+10%</f>
        <v>0.5</v>
      </c>
      <c r="Y22" s="24">
        <f>Y21+0.25</f>
        <v>2.25</v>
      </c>
      <c r="AA22">
        <f>AA21</f>
        <v>0.1</v>
      </c>
      <c r="AC22">
        <v>1</v>
      </c>
    </row>
    <row r="23" spans="1:32">
      <c r="A23" s="97"/>
      <c r="B23">
        <v>2010</v>
      </c>
      <c r="C23" t="s">
        <v>583</v>
      </c>
      <c r="D23" t="s">
        <v>584</v>
      </c>
      <c r="E23" t="s">
        <v>585</v>
      </c>
      <c r="L23">
        <f t="shared" si="0"/>
        <v>3</v>
      </c>
      <c r="N23">
        <f t="shared" si="1"/>
        <v>3</v>
      </c>
      <c r="P23">
        <f>P22-0.1</f>
        <v>-0.6</v>
      </c>
      <c r="S23" s="27">
        <f>S22+10%</f>
        <v>0.6</v>
      </c>
      <c r="Y23" s="24">
        <f>Y22+0.25</f>
        <v>2.5</v>
      </c>
      <c r="AA23">
        <f>AA22</f>
        <v>0.1</v>
      </c>
      <c r="AC23">
        <v>1</v>
      </c>
    </row>
    <row r="24" spans="1:32">
      <c r="A24" s="97"/>
      <c r="B24" s="15">
        <v>1995</v>
      </c>
      <c r="C24" s="15" t="s">
        <v>586</v>
      </c>
      <c r="D24" s="15" t="s">
        <v>587</v>
      </c>
      <c r="E24" s="15" t="s">
        <v>588</v>
      </c>
      <c r="F24" s="15"/>
      <c r="G24" s="26">
        <v>0.05</v>
      </c>
      <c r="H24" s="15"/>
      <c r="I24" s="15"/>
      <c r="J24" s="15"/>
      <c r="K24" s="15"/>
      <c r="L24" s="15">
        <v>0.5</v>
      </c>
      <c r="M24" s="15"/>
      <c r="N24" s="15">
        <v>0.5</v>
      </c>
      <c r="O24" s="15"/>
      <c r="P24" s="15">
        <v>-0.2</v>
      </c>
      <c r="Q24" s="15"/>
      <c r="R24" s="15"/>
      <c r="S24" s="39">
        <v>0.125</v>
      </c>
      <c r="T24" s="15"/>
      <c r="U24" s="15"/>
      <c r="V24" s="15"/>
      <c r="W24" s="15"/>
      <c r="X24" s="15"/>
      <c r="Y24" s="25">
        <v>1.25</v>
      </c>
      <c r="Z24" s="15"/>
      <c r="AA24" s="15">
        <v>0.1</v>
      </c>
      <c r="AD24">
        <v>1</v>
      </c>
    </row>
    <row r="25" spans="1:32">
      <c r="A25" s="97"/>
      <c r="B25">
        <v>2005</v>
      </c>
      <c r="C25" t="s">
        <v>589</v>
      </c>
      <c r="D25" t="s">
        <v>590</v>
      </c>
      <c r="E25" t="s">
        <v>591</v>
      </c>
      <c r="G25" s="28">
        <f>G24+2.5%</f>
        <v>7.5000000000000011E-2</v>
      </c>
      <c r="L25">
        <f>L24+0.5</f>
        <v>1</v>
      </c>
      <c r="N25">
        <f>N24+0.5</f>
        <v>1</v>
      </c>
      <c r="P25">
        <f>P24-0.05</f>
        <v>-0.25</v>
      </c>
      <c r="S25" s="28">
        <f>S24+5%</f>
        <v>0.17499999999999999</v>
      </c>
      <c r="Y25" s="24">
        <f>Y24+0.5</f>
        <v>1.75</v>
      </c>
      <c r="AA25">
        <f>AA24</f>
        <v>0.1</v>
      </c>
      <c r="AD25">
        <v>1</v>
      </c>
    </row>
    <row r="26" spans="1:32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</row>
    <row r="27" spans="1:32">
      <c r="A27" s="97" t="s">
        <v>592</v>
      </c>
      <c r="B27" s="15">
        <v>1975</v>
      </c>
      <c r="C27" s="15" t="s">
        <v>593</v>
      </c>
      <c r="D27" s="15" t="s">
        <v>594</v>
      </c>
      <c r="E27" s="15" t="s">
        <v>595</v>
      </c>
      <c r="F27" s="15"/>
      <c r="G27" s="15"/>
      <c r="H27" s="15"/>
      <c r="I27" s="15"/>
      <c r="J27" s="15"/>
      <c r="K27" s="15"/>
      <c r="L27" s="15">
        <v>3</v>
      </c>
      <c r="M27" s="15"/>
      <c r="N27" s="15">
        <v>1.5</v>
      </c>
      <c r="O27" s="15"/>
      <c r="P27" s="15">
        <v>-0.1</v>
      </c>
      <c r="Q27" s="15"/>
      <c r="R27" s="15"/>
      <c r="S27" s="26">
        <v>0.05</v>
      </c>
      <c r="T27" s="15"/>
      <c r="U27" s="15"/>
      <c r="V27" s="15"/>
      <c r="W27" s="15"/>
      <c r="X27" s="15"/>
      <c r="Y27" s="25">
        <v>2</v>
      </c>
      <c r="Z27" s="15"/>
      <c r="AA27" s="15">
        <v>0.05</v>
      </c>
    </row>
    <row r="28" spans="1:32">
      <c r="A28" s="97"/>
      <c r="B28">
        <v>1985</v>
      </c>
      <c r="C28" t="s">
        <v>596</v>
      </c>
      <c r="D28" t="s">
        <v>597</v>
      </c>
      <c r="E28" t="s">
        <v>598</v>
      </c>
      <c r="L28">
        <f>L27+3</f>
        <v>6</v>
      </c>
      <c r="N28">
        <f>N27+1.5</f>
        <v>3</v>
      </c>
      <c r="P28">
        <f>P27-0.1</f>
        <v>-0.2</v>
      </c>
      <c r="S28" s="27">
        <f>S27+10%</f>
        <v>0.15000000000000002</v>
      </c>
      <c r="Y28" s="24">
        <f>Y27+1</f>
        <v>3</v>
      </c>
      <c r="AA28">
        <f>AA27</f>
        <v>0.05</v>
      </c>
    </row>
    <row r="29" spans="1:32">
      <c r="A29" s="97"/>
      <c r="B29">
        <v>1985</v>
      </c>
      <c r="C29" t="s">
        <v>599</v>
      </c>
      <c r="D29" t="s">
        <v>600</v>
      </c>
      <c r="E29" t="s">
        <v>1095</v>
      </c>
      <c r="L29">
        <f>L28+1</f>
        <v>7</v>
      </c>
      <c r="N29">
        <f>N28+0.5</f>
        <v>3.5</v>
      </c>
      <c r="P29">
        <f>P27-0.1</f>
        <v>-0.2</v>
      </c>
      <c r="S29" s="27">
        <f>S28-5%</f>
        <v>0.10000000000000002</v>
      </c>
      <c r="Y29" s="24">
        <f>Y28+0.5</f>
        <v>3.5</v>
      </c>
      <c r="AA29">
        <f>AA28</f>
        <v>0.05</v>
      </c>
    </row>
    <row r="30" spans="1:32">
      <c r="A30" s="97"/>
      <c r="B30">
        <v>2005</v>
      </c>
      <c r="C30" t="s">
        <v>602</v>
      </c>
      <c r="D30" t="s">
        <v>603</v>
      </c>
      <c r="E30" t="s">
        <v>604</v>
      </c>
      <c r="L30">
        <f>L28+3</f>
        <v>9</v>
      </c>
      <c r="N30">
        <f>N28+1.5</f>
        <v>4.5</v>
      </c>
      <c r="P30">
        <f>P28-0.1</f>
        <v>-0.30000000000000004</v>
      </c>
      <c r="S30" s="27">
        <f>S28+10%</f>
        <v>0.25</v>
      </c>
      <c r="Y30" s="24">
        <f>Y28+1</f>
        <v>4</v>
      </c>
      <c r="AA30">
        <f>AA29</f>
        <v>0.05</v>
      </c>
    </row>
    <row r="31" spans="1:32">
      <c r="A31" s="97"/>
      <c r="B31">
        <v>2015</v>
      </c>
      <c r="C31" t="s">
        <v>605</v>
      </c>
      <c r="D31" t="s">
        <v>606</v>
      </c>
      <c r="E31" t="s">
        <v>607</v>
      </c>
      <c r="L31">
        <f>L30+3</f>
        <v>12</v>
      </c>
      <c r="N31">
        <f>N30+1.5</f>
        <v>6</v>
      </c>
      <c r="P31">
        <f>P30-0.1</f>
        <v>-0.4</v>
      </c>
      <c r="S31" s="27">
        <f>S30+10%</f>
        <v>0.35</v>
      </c>
      <c r="Y31" s="24">
        <f>Y30+1</f>
        <v>5</v>
      </c>
      <c r="AA31">
        <f>AA30</f>
        <v>0.05</v>
      </c>
    </row>
    <row r="32" spans="1:32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</row>
    <row r="33" spans="1:32">
      <c r="A33" s="71" t="s">
        <v>608</v>
      </c>
      <c r="B33" s="15">
        <v>1939</v>
      </c>
      <c r="C33" s="15" t="s">
        <v>609</v>
      </c>
      <c r="D33" s="15" t="s">
        <v>610</v>
      </c>
      <c r="E33" s="15" t="s">
        <v>611</v>
      </c>
      <c r="F33" s="15"/>
      <c r="G33" s="15"/>
      <c r="H33" s="15"/>
      <c r="I33" s="15"/>
      <c r="J33" s="15"/>
      <c r="K33" s="15"/>
      <c r="L33" s="15">
        <v>1.5</v>
      </c>
      <c r="N33" s="15">
        <v>2.5</v>
      </c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25">
        <v>0.5</v>
      </c>
      <c r="Z33" s="15"/>
      <c r="AA33" s="15">
        <v>0.05</v>
      </c>
    </row>
    <row r="34" spans="1:32">
      <c r="A34" s="71"/>
      <c r="B34">
        <v>1944</v>
      </c>
      <c r="C34" t="s">
        <v>612</v>
      </c>
      <c r="D34" t="s">
        <v>613</v>
      </c>
      <c r="E34" t="s">
        <v>614</v>
      </c>
      <c r="L34">
        <f>L33+3.5</f>
        <v>5</v>
      </c>
      <c r="W34">
        <v>0.25</v>
      </c>
      <c r="Y34" s="24">
        <f>Y33+0.5</f>
        <v>1</v>
      </c>
      <c r="AA34">
        <f>AA33+0.15</f>
        <v>0.2</v>
      </c>
    </row>
    <row r="35" spans="1:32">
      <c r="A35" s="71"/>
      <c r="B35">
        <v>1975</v>
      </c>
      <c r="C35" t="s">
        <v>615</v>
      </c>
      <c r="D35" t="s">
        <v>616</v>
      </c>
      <c r="E35" t="s">
        <v>617</v>
      </c>
      <c r="L35">
        <f>L33+2</f>
        <v>3.5</v>
      </c>
      <c r="N35">
        <f>N33+2.5</f>
        <v>5</v>
      </c>
      <c r="Y35" s="24">
        <f>Y33+0.75</f>
        <v>1.25</v>
      </c>
      <c r="AA35">
        <f>AA33</f>
        <v>0.05</v>
      </c>
    </row>
    <row r="36" spans="1:32">
      <c r="A36" s="71"/>
      <c r="B36">
        <v>1985</v>
      </c>
      <c r="C36" t="s">
        <v>618</v>
      </c>
      <c r="D36" t="s">
        <v>619</v>
      </c>
      <c r="E36" t="s">
        <v>620</v>
      </c>
      <c r="L36">
        <f>L35+2</f>
        <v>5.5</v>
      </c>
      <c r="N36">
        <f>N35+3</f>
        <v>8</v>
      </c>
      <c r="Y36" s="24">
        <f>Y35+0.5</f>
        <v>1.75</v>
      </c>
      <c r="AA36">
        <f>AA35</f>
        <v>0.05</v>
      </c>
    </row>
    <row r="37" spans="1:32">
      <c r="A37" s="71"/>
      <c r="B37">
        <v>1995</v>
      </c>
      <c r="C37" t="s">
        <v>621</v>
      </c>
      <c r="D37" t="s">
        <v>622</v>
      </c>
      <c r="E37" t="s">
        <v>623</v>
      </c>
      <c r="L37">
        <f>L36+2</f>
        <v>7.5</v>
      </c>
      <c r="N37">
        <f>N36+3</f>
        <v>11</v>
      </c>
      <c r="Y37" s="24">
        <f>Y36+0.5</f>
        <v>2.25</v>
      </c>
      <c r="AA37">
        <f>AA36</f>
        <v>0.05</v>
      </c>
    </row>
    <row r="38" spans="1:32">
      <c r="A38" s="71"/>
      <c r="B38">
        <v>2015</v>
      </c>
      <c r="C38" t="s">
        <v>624</v>
      </c>
      <c r="D38" t="s">
        <v>625</v>
      </c>
      <c r="E38" t="s">
        <v>626</v>
      </c>
      <c r="L38">
        <f>L37+2</f>
        <v>9.5</v>
      </c>
      <c r="N38">
        <f>N37+3</f>
        <v>14</v>
      </c>
      <c r="Y38" s="24">
        <f>Y37+0.5</f>
        <v>2.75</v>
      </c>
      <c r="AA38">
        <f>AA37</f>
        <v>0.05</v>
      </c>
    </row>
    <row r="39" spans="1:32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</row>
    <row r="40" spans="1:32">
      <c r="A40" s="71" t="s">
        <v>627</v>
      </c>
      <c r="B40" s="15">
        <v>1980</v>
      </c>
      <c r="C40" s="15" t="s">
        <v>628</v>
      </c>
      <c r="D40" s="15" t="s">
        <v>629</v>
      </c>
      <c r="E40" s="15" t="s">
        <v>630</v>
      </c>
      <c r="F40" s="26">
        <v>-0.04</v>
      </c>
      <c r="G40" s="15"/>
      <c r="H40" s="15"/>
      <c r="I40" s="15"/>
      <c r="J40" s="15"/>
      <c r="K40" s="15"/>
      <c r="L40" s="15">
        <v>6</v>
      </c>
      <c r="M40" s="15"/>
      <c r="N40" s="15">
        <v>3</v>
      </c>
      <c r="O40" s="15"/>
      <c r="P40" s="15"/>
      <c r="Q40" s="15"/>
      <c r="R40" s="15"/>
      <c r="S40" s="15"/>
      <c r="T40" s="15"/>
      <c r="U40" s="15"/>
      <c r="V40" s="15"/>
      <c r="W40" s="15">
        <v>0.15</v>
      </c>
      <c r="X40" s="15"/>
      <c r="Y40" s="25">
        <v>5</v>
      </c>
      <c r="Z40" s="15"/>
      <c r="AA40" s="15">
        <v>0.2</v>
      </c>
      <c r="AE40">
        <v>1</v>
      </c>
    </row>
    <row r="41" spans="1:32">
      <c r="A41" s="71"/>
      <c r="B41">
        <v>1990</v>
      </c>
      <c r="C41" t="s">
        <v>631</v>
      </c>
      <c r="D41" t="s">
        <v>632</v>
      </c>
      <c r="E41" t="s">
        <v>633</v>
      </c>
      <c r="F41" s="28">
        <f>F40+0.5%</f>
        <v>-3.5000000000000003E-2</v>
      </c>
      <c r="L41">
        <f>L40+3.5</f>
        <v>9.5</v>
      </c>
      <c r="N41">
        <f>N40+1.75</f>
        <v>4.75</v>
      </c>
      <c r="W41">
        <f>W40+0.1</f>
        <v>0.25</v>
      </c>
      <c r="Y41" s="24">
        <f>Y40+0.5</f>
        <v>5.5</v>
      </c>
      <c r="AA41">
        <f>AA40+0.05</f>
        <v>0.25</v>
      </c>
      <c r="AE41">
        <v>1</v>
      </c>
    </row>
    <row r="42" spans="1:32">
      <c r="A42" s="71"/>
      <c r="B42">
        <v>2005</v>
      </c>
      <c r="C42" t="s">
        <v>634</v>
      </c>
      <c r="D42" t="s">
        <v>635</v>
      </c>
      <c r="E42" t="s">
        <v>636</v>
      </c>
      <c r="F42" s="27">
        <f>F41+0.5%</f>
        <v>-3.0000000000000002E-2</v>
      </c>
      <c r="L42">
        <f>L41+3.5</f>
        <v>13</v>
      </c>
      <c r="N42">
        <f>N41+1.75</f>
        <v>6.5</v>
      </c>
      <c r="W42">
        <f>W41+0.1</f>
        <v>0.35</v>
      </c>
      <c r="Y42" s="24">
        <f>Y41+0.5</f>
        <v>6</v>
      </c>
      <c r="AA42">
        <f>AA41+0.05</f>
        <v>0.3</v>
      </c>
      <c r="AE42">
        <v>2</v>
      </c>
    </row>
    <row r="43" spans="1:32">
      <c r="A43" s="71"/>
      <c r="B43">
        <v>2015</v>
      </c>
      <c r="C43" t="s">
        <v>637</v>
      </c>
      <c r="D43" t="s">
        <v>638</v>
      </c>
      <c r="E43" t="s">
        <v>639</v>
      </c>
      <c r="F43" s="28">
        <f>F42+0.5%</f>
        <v>-2.5000000000000001E-2</v>
      </c>
      <c r="L43">
        <f>L42+3.5</f>
        <v>16.5</v>
      </c>
      <c r="N43">
        <f>N42+1.75</f>
        <v>8.25</v>
      </c>
      <c r="W43">
        <f>W42+0.1</f>
        <v>0.44999999999999996</v>
      </c>
      <c r="Y43" s="24">
        <f>Y42+0.5</f>
        <v>6.5</v>
      </c>
      <c r="AA43">
        <f>AA42+0.05</f>
        <v>0.35</v>
      </c>
      <c r="AE43">
        <v>2</v>
      </c>
    </row>
    <row r="44" spans="1:32">
      <c r="A44" s="71"/>
      <c r="B44" s="15">
        <v>1990</v>
      </c>
      <c r="C44" s="15" t="s">
        <v>640</v>
      </c>
      <c r="D44" s="15" t="s">
        <v>641</v>
      </c>
      <c r="E44" s="15" t="s">
        <v>642</v>
      </c>
      <c r="F44" s="15"/>
      <c r="G44" s="15"/>
      <c r="H44" s="15"/>
      <c r="I44" s="15"/>
      <c r="J44" s="15"/>
      <c r="K44" s="15"/>
      <c r="L44" s="15">
        <v>2</v>
      </c>
      <c r="M44" s="26">
        <v>0.05</v>
      </c>
      <c r="N44" s="15">
        <v>4</v>
      </c>
      <c r="O44" s="26">
        <v>0.05</v>
      </c>
      <c r="P44" s="15"/>
      <c r="Q44" s="15"/>
      <c r="R44" s="15"/>
      <c r="S44" s="15"/>
      <c r="T44" s="15"/>
      <c r="U44" s="15"/>
      <c r="V44" s="15"/>
      <c r="W44" s="15">
        <v>0.15</v>
      </c>
      <c r="X44" s="15"/>
      <c r="Y44" s="25">
        <v>1.5</v>
      </c>
      <c r="Z44" s="15"/>
      <c r="AA44" s="15">
        <v>0.1</v>
      </c>
      <c r="AE44">
        <v>1</v>
      </c>
    </row>
    <row r="45" spans="1:32">
      <c r="A45" s="71"/>
      <c r="B45">
        <v>2010</v>
      </c>
      <c r="C45" t="s">
        <v>643</v>
      </c>
      <c r="D45" t="s">
        <v>644</v>
      </c>
      <c r="E45" t="s">
        <v>645</v>
      </c>
      <c r="L45">
        <f>L44+2</f>
        <v>4</v>
      </c>
      <c r="M45" s="27">
        <f>M44+5%</f>
        <v>0.1</v>
      </c>
      <c r="N45">
        <f>N44+4</f>
        <v>8</v>
      </c>
      <c r="O45" s="27">
        <f>O44+5%</f>
        <v>0.1</v>
      </c>
      <c r="W45">
        <f>W44+0.2</f>
        <v>0.35</v>
      </c>
      <c r="Y45" s="24">
        <f>Y44+1.5</f>
        <v>3</v>
      </c>
      <c r="AA45">
        <f>AA44+0.1</f>
        <v>0.2</v>
      </c>
      <c r="AE45">
        <v>2</v>
      </c>
    </row>
    <row r="46" spans="1:32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</row>
    <row r="47" spans="1:32">
      <c r="A47" s="71" t="s">
        <v>646</v>
      </c>
      <c r="B47" s="15">
        <v>1942</v>
      </c>
      <c r="C47" s="15" t="s">
        <v>647</v>
      </c>
      <c r="D47" s="15" t="s">
        <v>648</v>
      </c>
      <c r="E47" s="15" t="s">
        <v>649</v>
      </c>
      <c r="F47" s="26">
        <v>0.05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25">
        <v>1</v>
      </c>
      <c r="Z47" s="15"/>
      <c r="AA47" s="15">
        <v>0.1</v>
      </c>
    </row>
    <row r="48" spans="1:32">
      <c r="A48" s="71"/>
      <c r="B48">
        <v>1950</v>
      </c>
      <c r="C48" t="s">
        <v>650</v>
      </c>
      <c r="D48" t="s">
        <v>651</v>
      </c>
      <c r="E48" t="s">
        <v>652</v>
      </c>
      <c r="F48" s="28">
        <f>F47+2.5%</f>
        <v>7.5000000000000011E-2</v>
      </c>
      <c r="Y48" s="24">
        <f>Y47+1</f>
        <v>2</v>
      </c>
      <c r="AA48">
        <f>AA47+0.05</f>
        <v>0.15000000000000002</v>
      </c>
    </row>
    <row r="49" spans="1:32">
      <c r="A49" s="71"/>
      <c r="B49">
        <v>1975</v>
      </c>
      <c r="C49" t="s">
        <v>653</v>
      </c>
      <c r="D49" t="s">
        <v>654</v>
      </c>
      <c r="E49" t="s">
        <v>655</v>
      </c>
      <c r="F49" s="27">
        <f>F48+2.5%</f>
        <v>0.1</v>
      </c>
      <c r="Y49" s="24">
        <f>Y48+1</f>
        <v>3</v>
      </c>
      <c r="AA49">
        <f>AA48+0.05</f>
        <v>0.2</v>
      </c>
    </row>
    <row r="50" spans="1:32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</row>
    <row r="51" spans="1:32">
      <c r="A51" s="71" t="s">
        <v>460</v>
      </c>
      <c r="B51" s="4"/>
      <c r="L51" s="66" t="s">
        <v>248</v>
      </c>
      <c r="N51" s="66" t="s">
        <v>250</v>
      </c>
      <c r="P51" s="66" t="s">
        <v>127</v>
      </c>
      <c r="S51" s="66" t="s">
        <v>253</v>
      </c>
      <c r="W51" s="66" t="s">
        <v>256</v>
      </c>
      <c r="Y51" s="40" t="s">
        <v>9</v>
      </c>
    </row>
    <row r="52" spans="1:32">
      <c r="A52" s="71"/>
      <c r="B52" s="4"/>
      <c r="L52">
        <f>L15+L23+L31+L34+L38+L43+L45</f>
        <v>55.25</v>
      </c>
      <c r="N52">
        <f>N15+N23+N31+N38+N43+N45</f>
        <v>44.5</v>
      </c>
      <c r="P52">
        <f>P15+P31</f>
        <v>-1.9000000000000004</v>
      </c>
      <c r="S52" s="27">
        <f>S15+S23+S31</f>
        <v>2.8000000000000003</v>
      </c>
      <c r="W52">
        <f>W34+W43+W45</f>
        <v>1.0499999999999998</v>
      </c>
      <c r="Y52">
        <f>Y15+Y23+Y31+Y34+Y38+Y43+Y45+Y49</f>
        <v>29</v>
      </c>
    </row>
  </sheetData>
  <mergeCells count="19">
    <mergeCell ref="A18:AF18"/>
    <mergeCell ref="A26:AF26"/>
    <mergeCell ref="A32:AF32"/>
    <mergeCell ref="A39:AF39"/>
    <mergeCell ref="A46:AF46"/>
    <mergeCell ref="A40:A45"/>
    <mergeCell ref="A3:A17"/>
    <mergeCell ref="AB1:AF1"/>
    <mergeCell ref="E1:E2"/>
    <mergeCell ref="A1:A2"/>
    <mergeCell ref="B1:B2"/>
    <mergeCell ref="C1:D1"/>
    <mergeCell ref="F1:AA1"/>
    <mergeCell ref="A33:A38"/>
    <mergeCell ref="A27:A31"/>
    <mergeCell ref="A19:A25"/>
    <mergeCell ref="A50:AF50"/>
    <mergeCell ref="A51:A52"/>
    <mergeCell ref="A47:A4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6BEC1B6F-02B3-444A-B68B-6027732B395D}">
  <sheetPr>
    <tabColor rgb="FF00B050"/>
  </sheetPr>
  <dimension ref="A1:AR345"/>
  <sheetViews>
    <sheetView workbookViewId="0"/>
  </sheetViews>
  <sheetFormatPr defaultRowHeight="15"/>
  <cols>
    <col min="1" max="1" width="18.85546875" customWidth="1"/>
    <col min="2" max="2" width="31.140625" customWidth="1"/>
    <col min="4" max="4" width="48.7109375" customWidth="1"/>
    <col min="5" max="5" width="39.5703125" customWidth="1"/>
    <col min="6" max="6" width="38.28515625" customWidth="1"/>
    <col min="7" max="7" width="26.7109375" customWidth="1"/>
    <col min="8" max="8" width="25.28515625" customWidth="1"/>
    <col min="9" max="9" width="17.140625" customWidth="1"/>
    <col min="10" max="10" width="13.85546875" customWidth="1"/>
    <col min="11" max="11" width="15" customWidth="1"/>
    <col min="12" max="12" width="15.140625" customWidth="1"/>
    <col min="13" max="13" width="13.5703125" customWidth="1"/>
    <col min="14" max="14" width="14.7109375" customWidth="1"/>
    <col min="15" max="15" width="13.5703125" customWidth="1"/>
    <col min="16" max="16" width="17.140625" customWidth="1"/>
    <col min="18" max="22" width="12.42578125" customWidth="1"/>
    <col min="23" max="23" width="14.42578125" customWidth="1"/>
    <col min="24" max="26" width="13.28515625" customWidth="1"/>
    <col min="27" max="27" width="15" customWidth="1"/>
    <col min="28" max="28" width="20.28515625" customWidth="1"/>
    <col min="29" max="29" width="23.42578125" customWidth="1"/>
    <col min="30" max="30" width="18.42578125" customWidth="1"/>
    <col min="31" max="33" width="21.42578125" customWidth="1"/>
    <col min="34" max="34" width="21.5703125" customWidth="1"/>
    <col min="35" max="35" width="18" customWidth="1"/>
    <col min="36" max="36" width="17.140625" customWidth="1"/>
    <col min="37" max="37" width="16.42578125" customWidth="1"/>
    <col min="38" max="38" width="20.42578125" customWidth="1"/>
    <col min="39" max="39" width="15.140625" customWidth="1"/>
    <col min="40" max="40" width="16.7109375" customWidth="1"/>
    <col min="41" max="41" width="18.5703125" customWidth="1"/>
  </cols>
  <sheetData>
    <row r="1" spans="1:42">
      <c r="A1" s="93" t="s">
        <v>471</v>
      </c>
      <c r="B1" s="93" t="s">
        <v>2</v>
      </c>
      <c r="C1" s="93" t="s">
        <v>3</v>
      </c>
      <c r="D1" s="93" t="s">
        <v>472</v>
      </c>
      <c r="E1" s="93" t="s">
        <v>473</v>
      </c>
      <c r="F1" s="93" t="s">
        <v>240</v>
      </c>
      <c r="G1" s="93"/>
      <c r="H1" s="93" t="s">
        <v>474</v>
      </c>
      <c r="I1" s="94" t="s">
        <v>121</v>
      </c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5" t="s">
        <v>241</v>
      </c>
      <c r="AL1" s="95"/>
      <c r="AM1" s="95"/>
      <c r="AN1" s="95"/>
      <c r="AO1" s="95"/>
      <c r="AP1" s="94" t="inlineStr">
        <is>
          <t xml:space="preserve">Operation metadata</t>
        </is>
      </c>
    </row>
    <row r="2" spans="1:41">
      <c r="A2" s="93"/>
      <c r="B2" s="93"/>
      <c r="C2" s="93"/>
      <c r="D2" s="93"/>
      <c r="E2" s="93"/>
      <c r="F2" s="68" t="s">
        <v>477</v>
      </c>
      <c r="G2" s="68" t="s">
        <v>243</v>
      </c>
      <c r="H2" s="93"/>
      <c r="I2" s="46" t="s">
        <v>244</v>
      </c>
      <c r="J2" s="46" t="s">
        <v>245</v>
      </c>
      <c r="K2" s="46" t="s">
        <v>124</v>
      </c>
      <c r="L2" s="46" t="s">
        <v>246</v>
      </c>
      <c r="M2" s="46" t="s">
        <v>125</v>
      </c>
      <c r="N2" s="46" t="s">
        <v>247</v>
      </c>
      <c r="O2" s="46" t="s">
        <v>248</v>
      </c>
      <c r="P2" s="46" t="s">
        <v>249</v>
      </c>
      <c r="Q2" s="46" t="s">
        <v>250</v>
      </c>
      <c r="R2" s="46" t="s">
        <v>251</v>
      </c>
      <c r="S2" s="46" t="s">
        <v>8</v>
      </c>
      <c r="T2" s="46" t="s">
        <v>253</v>
      </c>
      <c r="U2" s="46" t="s">
        <v>126</v>
      </c>
      <c r="V2" s="46" t="s">
        <v>478</v>
      </c>
      <c r="W2" s="46" t="s">
        <v>127</v>
      </c>
      <c r="X2" s="46" t="s">
        <v>252</v>
      </c>
      <c r="Y2" s="46" t="s">
        <v>112</v>
      </c>
      <c r="Z2" s="46" t="s">
        <v>343</v>
      </c>
      <c r="AA2" s="53" t="s">
        <v>479</v>
      </c>
      <c r="AB2" s="46" t="s">
        <v>254</v>
      </c>
      <c r="AC2" s="46" t="s">
        <v>255</v>
      </c>
      <c r="AD2" s="46" t="s">
        <v>256</v>
      </c>
      <c r="AE2" s="46" t="s">
        <v>257</v>
      </c>
      <c r="AF2" s="46" t="s">
        <v>480</v>
      </c>
      <c r="AG2" s="46" t="s">
        <v>481</v>
      </c>
      <c r="AH2" s="47" t="s">
        <v>9</v>
      </c>
      <c r="AI2" s="46" t="s">
        <v>258</v>
      </c>
      <c r="AJ2" s="46" t="s">
        <v>259</v>
      </c>
      <c r="AK2" s="46" t="s">
        <v>260</v>
      </c>
      <c r="AL2" s="46" t="s">
        <v>261</v>
      </c>
      <c r="AM2" s="46" t="s">
        <v>262</v>
      </c>
      <c r="AN2" s="46" t="s">
        <v>263</v>
      </c>
      <c r="AO2" s="46" t="s">
        <v>264</v>
      </c>
    </row>
    <row r="3" spans="1:41">
      <c r="A3" s="71" t="s">
        <v>483</v>
      </c>
      <c r="B3" s="71" t="s">
        <v>265</v>
      </c>
      <c r="C3" s="15">
        <v>1939</v>
      </c>
      <c r="D3" s="15" t="s">
        <v>266</v>
      </c>
      <c r="E3" s="15" t="s">
        <v>266</v>
      </c>
      <c r="F3" s="15" t="s">
        <v>266</v>
      </c>
      <c r="G3" s="15" t="s">
        <v>267</v>
      </c>
      <c r="H3" s="15" t="s">
        <v>268</v>
      </c>
      <c r="I3" s="26">
        <v>1</v>
      </c>
      <c r="J3" s="26">
        <v>0.7</v>
      </c>
      <c r="O3" s="15">
        <v>20</v>
      </c>
      <c r="P3" s="15"/>
      <c r="Q3" s="15">
        <v>6</v>
      </c>
      <c r="S3" s="15">
        <v>5</v>
      </c>
      <c r="W3" s="15">
        <v>6</v>
      </c>
      <c r="AD3" s="15"/>
      <c r="AH3" s="25">
        <v>2.5</v>
      </c>
      <c r="AL3" s="15">
        <v>1</v>
      </c>
    </row>
    <row r="4" spans="1:41">
      <c r="A4" s="71"/>
      <c r="B4" s="71"/>
      <c r="C4">
        <v>1942</v>
      </c>
      <c r="D4" t="s">
        <v>269</v>
      </c>
      <c r="E4" t="s">
        <v>269</v>
      </c>
      <c r="F4" t="s">
        <v>269</v>
      </c>
      <c r="G4" t="s">
        <v>270</v>
      </c>
      <c r="H4" t="s">
        <v>271</v>
      </c>
      <c r="I4" s="27">
        <f>I3+5%</f>
        <v>1.05</v>
      </c>
      <c r="J4" s="27">
        <f>J3</f>
        <v>0.7</v>
      </c>
      <c r="O4" s="34">
        <f>O3</f>
        <v>20</v>
      </c>
      <c r="Q4">
        <f>Q3</f>
        <v>6</v>
      </c>
      <c r="S4">
        <f>S3+2.5</f>
        <v>7.5</v>
      </c>
      <c r="W4">
        <f>W3+0.5</f>
        <v>6.5</v>
      </c>
      <c r="AH4" s="24">
        <f>AH3+0.4</f>
        <v>2.9</v>
      </c>
      <c r="AL4">
        <v>1</v>
      </c>
    </row>
    <row r="5" spans="1:41">
      <c r="A5" s="71"/>
      <c r="B5" s="71"/>
      <c r="C5">
        <v>1944</v>
      </c>
      <c r="D5" t="s">
        <v>272</v>
      </c>
      <c r="E5" t="s">
        <v>272</v>
      </c>
      <c r="F5" t="s">
        <v>272</v>
      </c>
      <c r="G5" t="s">
        <v>273</v>
      </c>
      <c r="H5" t="s">
        <v>274</v>
      </c>
      <c r="I5" s="27">
        <f>I4+5%</f>
        <v>1.1000000000000001</v>
      </c>
      <c r="J5" s="27">
        <f>J4</f>
        <v>0.7</v>
      </c>
      <c r="O5" s="34">
        <f>O3</f>
        <v>20</v>
      </c>
      <c r="Q5">
        <f>Q4</f>
        <v>6</v>
      </c>
      <c r="S5">
        <f t="shared" ref="S5:S12" si="0">S4+2.5</f>
        <v>10</v>
      </c>
      <c r="W5">
        <f t="shared" ref="W5:W12" si="1">W4+0.5</f>
        <v>7</v>
      </c>
      <c r="AH5" s="24">
        <f t="shared" ref="AH5:AH12" si="2">AH4+0.4</f>
        <v>3.3</v>
      </c>
      <c r="AL5">
        <v>1</v>
      </c>
    </row>
    <row r="6" spans="1:41">
      <c r="A6" s="71"/>
      <c r="B6" s="71"/>
      <c r="C6">
        <v>1950</v>
      </c>
      <c r="D6" t="s">
        <v>275</v>
      </c>
      <c r="E6" t="s">
        <v>275</v>
      </c>
      <c r="F6" t="s">
        <v>275</v>
      </c>
      <c r="G6" t="s">
        <v>276</v>
      </c>
      <c r="H6" t="s">
        <v>277</v>
      </c>
      <c r="I6" s="27">
        <f>I5+5%</f>
        <v>1.1500000000000001</v>
      </c>
      <c r="J6" s="27">
        <f>J5</f>
        <v>0.7</v>
      </c>
      <c r="O6" s="34">
        <f>O3</f>
        <v>20</v>
      </c>
      <c r="Q6">
        <f>Q5</f>
        <v>6</v>
      </c>
      <c r="S6">
        <f t="shared" si="0"/>
        <v>12.5</v>
      </c>
      <c r="W6">
        <f t="shared" si="1"/>
        <v>7.5</v>
      </c>
      <c r="AH6" s="24">
        <f t="shared" si="2"/>
        <v>3.6999999999999997</v>
      </c>
      <c r="AL6">
        <v>2</v>
      </c>
      <c r="AM6">
        <v>1</v>
      </c>
    </row>
    <row r="7" spans="1:41">
      <c r="A7" s="71"/>
      <c r="B7" s="71"/>
      <c r="C7">
        <v>1960</v>
      </c>
      <c r="D7" t="s">
        <v>278</v>
      </c>
      <c r="E7" t="s">
        <v>278</v>
      </c>
      <c r="F7" t="s">
        <v>278</v>
      </c>
      <c r="G7" t="s">
        <v>279</v>
      </c>
      <c r="H7" t="s">
        <v>280</v>
      </c>
      <c r="I7" s="27">
        <f>I6+5%</f>
        <v>1.2000000000000002</v>
      </c>
      <c r="J7" s="27">
        <f>J6</f>
        <v>0.7</v>
      </c>
      <c r="O7" s="34">
        <f>O4</f>
        <v>20</v>
      </c>
      <c r="Q7">
        <f>Q6</f>
        <v>6</v>
      </c>
      <c r="S7">
        <f t="shared" si="0"/>
        <v>15</v>
      </c>
      <c r="W7">
        <f t="shared" si="1"/>
        <v>8</v>
      </c>
      <c r="AH7" s="24">
        <f>AH6+0.4</f>
        <v>4.0999999999999996</v>
      </c>
      <c r="AL7">
        <v>2</v>
      </c>
      <c r="AM7">
        <v>1</v>
      </c>
    </row>
    <row r="8" spans="1:41">
      <c r="A8" s="71"/>
      <c r="B8" s="71"/>
      <c r="C8">
        <v>1970</v>
      </c>
      <c r="D8" t="s">
        <v>281</v>
      </c>
      <c r="E8" t="s">
        <v>281</v>
      </c>
      <c r="F8" t="s">
        <v>281</v>
      </c>
      <c r="G8" t="s">
        <v>282</v>
      </c>
      <c r="H8" t="s">
        <v>283</v>
      </c>
      <c r="I8" s="27">
        <f>I7+5%</f>
        <v>1.2500000000000002</v>
      </c>
      <c r="J8" s="27">
        <f>J7</f>
        <v>0.7</v>
      </c>
      <c r="O8" s="34">
        <f>O5</f>
        <v>20</v>
      </c>
      <c r="Q8">
        <f>Q7</f>
        <v>6</v>
      </c>
      <c r="S8">
        <f t="shared" si="0"/>
        <v>17.5</v>
      </c>
      <c r="W8">
        <f t="shared" si="1"/>
        <v>8.5</v>
      </c>
      <c r="AH8" s="24">
        <f t="shared" si="2"/>
        <v>4.5</v>
      </c>
      <c r="AL8">
        <v>2</v>
      </c>
      <c r="AM8">
        <v>1</v>
      </c>
    </row>
    <row r="9" spans="1:41">
      <c r="A9" s="71"/>
      <c r="B9" s="71"/>
      <c r="C9">
        <v>1980</v>
      </c>
      <c r="D9" t="s">
        <v>284</v>
      </c>
      <c r="E9" t="s">
        <v>284</v>
      </c>
      <c r="F9" t="s">
        <v>284</v>
      </c>
      <c r="G9" t="s">
        <v>285</v>
      </c>
      <c r="H9" t="s">
        <v>286</v>
      </c>
      <c r="I9" s="27">
        <f>I8+5%</f>
        <v>1.3000000000000003</v>
      </c>
      <c r="J9" s="27">
        <f>J8</f>
        <v>0.7</v>
      </c>
      <c r="O9" s="34">
        <f>O6</f>
        <v>20</v>
      </c>
      <c r="Q9">
        <f>Q8</f>
        <v>6</v>
      </c>
      <c r="S9">
        <f t="shared" si="0"/>
        <v>20</v>
      </c>
      <c r="W9">
        <f t="shared" si="1"/>
        <v>9</v>
      </c>
      <c r="AH9" s="24">
        <f t="shared" si="2"/>
        <v>4.9000000000000004</v>
      </c>
      <c r="AL9">
        <v>2</v>
      </c>
      <c r="AM9">
        <v>1</v>
      </c>
    </row>
    <row r="10" spans="1:41">
      <c r="A10" s="71"/>
      <c r="B10" s="71"/>
      <c r="C10">
        <v>1990</v>
      </c>
      <c r="D10" t="s">
        <v>287</v>
      </c>
      <c r="E10" t="s">
        <v>287</v>
      </c>
      <c r="F10" t="s">
        <v>287</v>
      </c>
      <c r="G10" t="s">
        <v>288</v>
      </c>
      <c r="H10" t="s">
        <v>289</v>
      </c>
      <c r="I10" s="27">
        <f>I9+5%</f>
        <v>1.3500000000000003</v>
      </c>
      <c r="J10" s="27">
        <f>J9</f>
        <v>0.7</v>
      </c>
      <c r="O10" s="34">
        <f>O7</f>
        <v>20</v>
      </c>
      <c r="Q10">
        <f>Q9</f>
        <v>6</v>
      </c>
      <c r="S10">
        <f t="shared" si="0"/>
        <v>22.5</v>
      </c>
      <c r="W10">
        <f t="shared" si="1"/>
        <v>9.5</v>
      </c>
      <c r="AH10" s="24">
        <f t="shared" si="2"/>
        <v>5.3000000000000007</v>
      </c>
      <c r="AL10">
        <v>2</v>
      </c>
      <c r="AM10">
        <v>1</v>
      </c>
    </row>
    <row r="11" spans="1:41">
      <c r="A11" s="71"/>
      <c r="B11" s="71"/>
      <c r="C11">
        <v>2000</v>
      </c>
      <c r="D11" t="s">
        <v>290</v>
      </c>
      <c r="E11" t="s">
        <v>290</v>
      </c>
      <c r="F11" t="s">
        <v>290</v>
      </c>
      <c r="G11" t="s">
        <v>291</v>
      </c>
      <c r="H11" t="s">
        <v>292</v>
      </c>
      <c r="I11" s="27">
        <f>I10+5%</f>
        <v>1.4000000000000004</v>
      </c>
      <c r="J11" s="27">
        <f>J10</f>
        <v>0.7</v>
      </c>
      <c r="O11" s="34">
        <f>O8</f>
        <v>20</v>
      </c>
      <c r="Q11">
        <f>Q10</f>
        <v>6</v>
      </c>
      <c r="S11">
        <f t="shared" si="0"/>
        <v>25</v>
      </c>
      <c r="W11">
        <f t="shared" si="1"/>
        <v>10</v>
      </c>
      <c r="AH11" s="24">
        <f t="shared" si="2"/>
        <v>5.7000000000000011</v>
      </c>
      <c r="AL11">
        <v>2</v>
      </c>
      <c r="AM11">
        <v>1</v>
      </c>
    </row>
    <row r="12" spans="1:41">
      <c r="A12" s="71"/>
      <c r="B12" s="71"/>
      <c r="C12">
        <v>2010</v>
      </c>
      <c r="D12" t="s">
        <v>293</v>
      </c>
      <c r="E12" t="s">
        <v>293</v>
      </c>
      <c r="F12" t="s">
        <v>293</v>
      </c>
      <c r="G12" t="s">
        <v>294</v>
      </c>
      <c r="H12" t="s">
        <v>295</v>
      </c>
      <c r="I12" s="27">
        <f>I11+5%</f>
        <v>1.4500000000000004</v>
      </c>
      <c r="J12" s="27">
        <f>J11</f>
        <v>0.7</v>
      </c>
      <c r="O12" s="34">
        <f>O9</f>
        <v>20</v>
      </c>
      <c r="Q12">
        <f>Q11</f>
        <v>6</v>
      </c>
      <c r="S12">
        <f t="shared" si="0"/>
        <v>27.5</v>
      </c>
      <c r="W12">
        <f t="shared" si="1"/>
        <v>10.5</v>
      </c>
      <c r="AH12" s="24">
        <f t="shared" si="2"/>
        <v>6.1000000000000014</v>
      </c>
      <c r="AL12">
        <v>2</v>
      </c>
      <c r="AM12">
        <v>1</v>
      </c>
    </row>
    <row r="13" spans="1:41">
      <c r="A13" s="71"/>
    </row>
    <row r="14" spans="1:41">
      <c r="A14" s="71"/>
      <c r="B14" s="71" t="s">
        <v>296</v>
      </c>
      <c r="C14" s="15">
        <v>1939</v>
      </c>
      <c r="D14" s="15" t="s">
        <v>297</v>
      </c>
      <c r="E14" s="15" t="s">
        <v>297</v>
      </c>
      <c r="F14" s="15" t="s">
        <v>297</v>
      </c>
      <c r="G14" s="15" t="s">
        <v>298</v>
      </c>
      <c r="H14" s="15" t="s">
        <v>299</v>
      </c>
      <c r="I14" s="26">
        <v>1.1000000000000001</v>
      </c>
      <c r="J14" s="26">
        <v>0.8</v>
      </c>
      <c r="O14" s="15">
        <v>30</v>
      </c>
      <c r="P14" s="15"/>
      <c r="Q14" s="15">
        <v>5</v>
      </c>
      <c r="S14" s="15">
        <v>30</v>
      </c>
      <c r="W14" s="15">
        <v>5</v>
      </c>
      <c r="AD14" s="15"/>
      <c r="AH14" s="25">
        <v>5</v>
      </c>
      <c r="AL14">
        <v>2</v>
      </c>
    </row>
    <row r="15" spans="1:41">
      <c r="A15" s="71"/>
      <c r="B15" s="71"/>
      <c r="C15">
        <v>1942</v>
      </c>
      <c r="D15" t="s">
        <v>300</v>
      </c>
      <c r="E15" t="s">
        <v>300</v>
      </c>
      <c r="F15" t="s">
        <v>300</v>
      </c>
      <c r="G15" s="34" t="s">
        <v>301</v>
      </c>
      <c r="H15" t="s">
        <v>302</v>
      </c>
      <c r="I15" s="27">
        <f>I14+5%</f>
        <v>1.1500000000000001</v>
      </c>
      <c r="J15" s="27">
        <f>J14</f>
        <v>0.8</v>
      </c>
      <c r="O15" s="34">
        <f>O14</f>
        <v>30</v>
      </c>
      <c r="Q15">
        <f>Q14</f>
        <v>5</v>
      </c>
      <c r="S15">
        <f t="shared" ref="S15:S23" si="3">S14+5</f>
        <v>35</v>
      </c>
      <c r="W15">
        <f t="shared" ref="W15:W23" si="4">W14+0.5</f>
        <v>5.5</v>
      </c>
      <c r="AH15" s="24">
        <f>AH14+0.75</f>
        <v>5.75</v>
      </c>
      <c r="AL15">
        <v>2</v>
      </c>
    </row>
    <row r="16" spans="1:41">
      <c r="A16" s="71"/>
      <c r="B16" s="71"/>
      <c r="C16">
        <v>1944</v>
      </c>
      <c r="D16" t="s">
        <v>303</v>
      </c>
      <c r="E16" t="s">
        <v>303</v>
      </c>
      <c r="F16" t="s">
        <v>303</v>
      </c>
      <c r="G16" s="34" t="s">
        <v>304</v>
      </c>
      <c r="H16" t="s">
        <v>305</v>
      </c>
      <c r="I16" s="27">
        <f>I15+5%</f>
        <v>1.2000000000000002</v>
      </c>
      <c r="J16" s="27">
        <f>J15</f>
        <v>0.8</v>
      </c>
      <c r="O16" s="34">
        <f>O15</f>
        <v>30</v>
      </c>
      <c r="Q16">
        <f t="shared" ref="Q16:Q23" si="5">Q15</f>
        <v>5</v>
      </c>
      <c r="S16">
        <f t="shared" si="3"/>
        <v>40</v>
      </c>
      <c r="W16">
        <f t="shared" si="4"/>
        <v>6</v>
      </c>
      <c r="AH16" s="24">
        <f t="shared" ref="AH16:AH22" si="6">AH15+0.75</f>
        <v>6.5</v>
      </c>
      <c r="AL16">
        <v>2</v>
      </c>
    </row>
    <row r="17" spans="1:41">
      <c r="A17" s="71"/>
      <c r="B17" s="71"/>
      <c r="C17">
        <v>1950</v>
      </c>
      <c r="D17" t="s">
        <v>306</v>
      </c>
      <c r="E17" t="s">
        <v>306</v>
      </c>
      <c r="F17" t="s">
        <v>306</v>
      </c>
      <c r="G17" s="34" t="s">
        <v>307</v>
      </c>
      <c r="H17" t="s">
        <v>308</v>
      </c>
      <c r="I17" s="27">
        <f>I16+5%</f>
        <v>1.2500000000000002</v>
      </c>
      <c r="J17" s="27">
        <f>J16</f>
        <v>0.8</v>
      </c>
      <c r="O17" s="34">
        <f>O16</f>
        <v>30</v>
      </c>
      <c r="Q17">
        <f t="shared" si="5"/>
        <v>5</v>
      </c>
      <c r="S17">
        <f t="shared" si="3"/>
        <v>45</v>
      </c>
      <c r="W17">
        <f t="shared" si="4"/>
        <v>6.5</v>
      </c>
      <c r="AH17" s="24">
        <f t="shared" si="6"/>
        <v>7.25</v>
      </c>
      <c r="AL17">
        <v>3</v>
      </c>
    </row>
    <row r="18" spans="1:41">
      <c r="A18" s="71"/>
      <c r="B18" s="71"/>
      <c r="C18">
        <v>1960</v>
      </c>
      <c r="D18" t="s">
        <v>309</v>
      </c>
      <c r="E18" t="s">
        <v>309</v>
      </c>
      <c r="F18" t="s">
        <v>309</v>
      </c>
      <c r="G18" s="34" t="s">
        <v>310</v>
      </c>
      <c r="H18" t="s">
        <v>311</v>
      </c>
      <c r="I18" s="27">
        <f>I17+5%</f>
        <v>1.3000000000000003</v>
      </c>
      <c r="J18" s="27">
        <f>J17</f>
        <v>0.8</v>
      </c>
      <c r="O18" s="34">
        <f>O17</f>
        <v>30</v>
      </c>
      <c r="Q18">
        <f t="shared" si="5"/>
        <v>5</v>
      </c>
      <c r="S18">
        <f t="shared" si="3"/>
        <v>50</v>
      </c>
      <c r="W18">
        <f t="shared" si="4"/>
        <v>7</v>
      </c>
      <c r="AH18" s="24">
        <f t="shared" si="6"/>
        <v>8</v>
      </c>
      <c r="AL18">
        <v>3</v>
      </c>
    </row>
    <row r="19" spans="1:41">
      <c r="A19" s="71"/>
      <c r="B19" s="71"/>
      <c r="C19">
        <v>1970</v>
      </c>
      <c r="D19" t="s">
        <v>312</v>
      </c>
      <c r="E19" t="s">
        <v>312</v>
      </c>
      <c r="F19" t="s">
        <v>312</v>
      </c>
      <c r="G19" s="34" t="s">
        <v>313</v>
      </c>
      <c r="H19" t="s">
        <v>314</v>
      </c>
      <c r="I19" s="27">
        <f>I18+5%</f>
        <v>1.3500000000000003</v>
      </c>
      <c r="J19" s="27">
        <f>J18</f>
        <v>0.8</v>
      </c>
      <c r="O19" s="34">
        <f>O18</f>
        <v>30</v>
      </c>
      <c r="Q19">
        <f t="shared" si="5"/>
        <v>5</v>
      </c>
      <c r="S19">
        <f t="shared" si="3"/>
        <v>55</v>
      </c>
      <c r="W19">
        <f t="shared" si="4"/>
        <v>7.5</v>
      </c>
      <c r="AH19" s="24">
        <f t="shared" si="6"/>
        <v>8.75</v>
      </c>
      <c r="AL19">
        <v>3</v>
      </c>
    </row>
    <row r="20" spans="1:41">
      <c r="A20" s="71"/>
      <c r="B20" s="71"/>
      <c r="C20">
        <v>1980</v>
      </c>
      <c r="D20" t="s">
        <v>315</v>
      </c>
      <c r="E20" t="s">
        <v>315</v>
      </c>
      <c r="F20" t="s">
        <v>315</v>
      </c>
      <c r="G20" s="34" t="s">
        <v>316</v>
      </c>
      <c r="H20" t="s">
        <v>317</v>
      </c>
      <c r="I20" s="27">
        <f>I19+5%</f>
        <v>1.4000000000000004</v>
      </c>
      <c r="J20" s="27">
        <f>J19</f>
        <v>0.8</v>
      </c>
      <c r="O20" s="34">
        <f>O19</f>
        <v>30</v>
      </c>
      <c r="Q20">
        <f t="shared" si="5"/>
        <v>5</v>
      </c>
      <c r="S20">
        <f t="shared" si="3"/>
        <v>60</v>
      </c>
      <c r="W20">
        <f t="shared" si="4"/>
        <v>8</v>
      </c>
      <c r="AH20" s="24">
        <f t="shared" si="6"/>
        <v>9.5</v>
      </c>
      <c r="AL20">
        <v>3</v>
      </c>
    </row>
    <row r="21" spans="1:41">
      <c r="A21" s="71"/>
      <c r="B21" s="71"/>
      <c r="C21">
        <v>1990</v>
      </c>
      <c r="D21" t="s">
        <v>318</v>
      </c>
      <c r="E21" t="s">
        <v>318</v>
      </c>
      <c r="F21" t="s">
        <v>318</v>
      </c>
      <c r="G21" s="34" t="s">
        <v>319</v>
      </c>
      <c r="H21" t="s">
        <v>320</v>
      </c>
      <c r="I21" s="27">
        <f>I20+5%</f>
        <v>1.4500000000000004</v>
      </c>
      <c r="J21" s="27">
        <f>J20</f>
        <v>0.8</v>
      </c>
      <c r="O21" s="34">
        <f>O20</f>
        <v>30</v>
      </c>
      <c r="Q21">
        <f t="shared" si="5"/>
        <v>5</v>
      </c>
      <c r="S21">
        <f t="shared" si="3"/>
        <v>65</v>
      </c>
      <c r="W21">
        <f t="shared" si="4"/>
        <v>8.5</v>
      </c>
      <c r="AH21" s="24">
        <f t="shared" si="6"/>
        <v>10.25</v>
      </c>
      <c r="AL21">
        <v>3</v>
      </c>
    </row>
    <row r="22" spans="1:41">
      <c r="A22" s="71"/>
      <c r="B22" s="71"/>
      <c r="C22">
        <v>2000</v>
      </c>
      <c r="D22" t="s">
        <v>321</v>
      </c>
      <c r="E22" t="s">
        <v>321</v>
      </c>
      <c r="F22" t="s">
        <v>321</v>
      </c>
      <c r="G22" s="34" t="s">
        <v>322</v>
      </c>
      <c r="H22" t="s">
        <v>323</v>
      </c>
      <c r="I22" s="27">
        <f>I21+5%</f>
        <v>1.5000000000000004</v>
      </c>
      <c r="J22" s="27">
        <f>J21</f>
        <v>0.8</v>
      </c>
      <c r="O22" s="34">
        <f>O21</f>
        <v>30</v>
      </c>
      <c r="Q22">
        <f t="shared" si="5"/>
        <v>5</v>
      </c>
      <c r="S22">
        <f t="shared" si="3"/>
        <v>70</v>
      </c>
      <c r="W22">
        <f t="shared" si="4"/>
        <v>9</v>
      </c>
      <c r="AH22" s="24">
        <f t="shared" si="6"/>
        <v>11</v>
      </c>
      <c r="AL22">
        <v>3</v>
      </c>
    </row>
    <row r="23" spans="1:41">
      <c r="A23" s="71"/>
      <c r="B23" s="71"/>
      <c r="C23">
        <v>2010</v>
      </c>
      <c r="D23" t="s">
        <v>324</v>
      </c>
      <c r="E23" t="s">
        <v>324</v>
      </c>
      <c r="F23" t="s">
        <v>324</v>
      </c>
      <c r="G23" s="34" t="s">
        <v>325</v>
      </c>
      <c r="H23" t="s">
        <v>326</v>
      </c>
      <c r="I23" s="27">
        <f>I22+5%</f>
        <v>1.5500000000000005</v>
      </c>
      <c r="J23" s="27">
        <f>J22</f>
        <v>0.8</v>
      </c>
      <c r="O23" s="34">
        <f>O22</f>
        <v>30</v>
      </c>
      <c r="Q23">
        <f t="shared" si="5"/>
        <v>5</v>
      </c>
      <c r="S23">
        <f t="shared" si="3"/>
        <v>75</v>
      </c>
      <c r="W23">
        <f t="shared" si="4"/>
        <v>9.5</v>
      </c>
      <c r="AH23" s="24">
        <f>AH22+0.75</f>
        <v>11.75</v>
      </c>
      <c r="AL23">
        <v>3</v>
      </c>
    </row>
    <row r="24" spans="1:41">
      <c r="A24" s="71"/>
    </row>
    <row r="25" spans="1:41">
      <c r="A25" s="71"/>
      <c r="B25" s="71" t="s">
        <v>327</v>
      </c>
      <c r="C25" s="15">
        <v>1939</v>
      </c>
      <c r="D25" s="15" t="s">
        <v>328</v>
      </c>
      <c r="E25" s="15" t="s">
        <v>328</v>
      </c>
      <c r="F25" s="15" t="s">
        <v>328</v>
      </c>
      <c r="G25" s="15" t="s">
        <v>329</v>
      </c>
      <c r="H25" s="15" t="s">
        <v>330</v>
      </c>
      <c r="I25" s="26">
        <v>1.2</v>
      </c>
      <c r="J25" s="33">
        <v>0.85</v>
      </c>
      <c r="O25" s="15">
        <v>35</v>
      </c>
      <c r="Q25" s="15">
        <v>4</v>
      </c>
      <c r="S25" s="15">
        <v>45</v>
      </c>
      <c r="W25" s="15">
        <v>4</v>
      </c>
      <c r="AD25" s="15"/>
      <c r="AH25" s="25">
        <v>9</v>
      </c>
      <c r="AL25">
        <v>3</v>
      </c>
    </row>
    <row r="26" spans="1:41">
      <c r="A26" s="71"/>
      <c r="B26" s="71"/>
      <c r="C26">
        <v>1942</v>
      </c>
      <c r="D26" t="s">
        <v>331</v>
      </c>
      <c r="E26" t="s">
        <v>331</v>
      </c>
      <c r="F26" t="s">
        <v>331</v>
      </c>
      <c r="G26" t="s">
        <v>332</v>
      </c>
      <c r="H26" t="s">
        <v>333</v>
      </c>
      <c r="I26" s="27">
        <f>I25+5%</f>
        <v>1.25</v>
      </c>
      <c r="J26" s="27">
        <f>J25</f>
        <v>0.85</v>
      </c>
      <c r="O26" s="34">
        <f>O25</f>
        <v>35</v>
      </c>
      <c r="Q26">
        <f>Q25</f>
        <v>4</v>
      </c>
      <c r="S26">
        <f t="shared" ref="S26:S29" si="7">S25+5</f>
        <v>50</v>
      </c>
      <c r="W26">
        <f t="shared" ref="W26:W29" si="8">W25+0.5</f>
        <v>4.5</v>
      </c>
      <c r="AH26" s="24">
        <f>AH25+1</f>
        <v>10</v>
      </c>
      <c r="AL26">
        <v>3</v>
      </c>
    </row>
    <row r="27" spans="1:41">
      <c r="A27" s="71"/>
      <c r="B27" s="71"/>
      <c r="C27">
        <v>1944</v>
      </c>
      <c r="D27" t="s">
        <v>334</v>
      </c>
      <c r="E27" t="s">
        <v>334</v>
      </c>
      <c r="F27" t="s">
        <v>334</v>
      </c>
      <c r="G27" t="s">
        <v>335</v>
      </c>
      <c r="H27" t="s">
        <v>336</v>
      </c>
      <c r="I27" s="27">
        <f>I26+5%</f>
        <v>1.3</v>
      </c>
      <c r="J27" s="27">
        <f>J26</f>
        <v>0.85</v>
      </c>
      <c r="O27" s="34">
        <f>O26</f>
        <v>35</v>
      </c>
      <c r="Q27">
        <f t="shared" ref="Q27:Q29" si="9">Q26</f>
        <v>4</v>
      </c>
      <c r="S27">
        <f t="shared" si="7"/>
        <v>55</v>
      </c>
      <c r="W27">
        <f t="shared" si="8"/>
        <v>5</v>
      </c>
      <c r="AH27" s="24">
        <f t="shared" ref="AH27:AH29" si="10">AH26+1</f>
        <v>11</v>
      </c>
      <c r="AL27">
        <v>3</v>
      </c>
    </row>
    <row r="28" spans="1:41">
      <c r="A28" s="71"/>
      <c r="B28" s="71"/>
      <c r="C28">
        <v>1950</v>
      </c>
      <c r="D28" t="s">
        <v>337</v>
      </c>
      <c r="E28" t="s">
        <v>337</v>
      </c>
      <c r="F28" t="s">
        <v>337</v>
      </c>
      <c r="G28" t="s">
        <v>338</v>
      </c>
      <c r="H28" t="s">
        <v>339</v>
      </c>
      <c r="I28" s="27">
        <f>I27+5%</f>
        <v>1.35</v>
      </c>
      <c r="J28" s="27">
        <f>J27</f>
        <v>0.85</v>
      </c>
      <c r="O28" s="34">
        <f>O27</f>
        <v>35</v>
      </c>
      <c r="Q28">
        <f t="shared" si="9"/>
        <v>4</v>
      </c>
      <c r="S28">
        <f t="shared" si="7"/>
        <v>60</v>
      </c>
      <c r="W28">
        <f t="shared" si="8"/>
        <v>5.5</v>
      </c>
      <c r="AH28" s="24">
        <f t="shared" si="10"/>
        <v>12</v>
      </c>
      <c r="AL28">
        <v>4</v>
      </c>
    </row>
    <row r="29" spans="1:41">
      <c r="A29" s="71"/>
      <c r="B29" s="71"/>
      <c r="C29">
        <v>1955</v>
      </c>
      <c r="D29" t="s">
        <v>340</v>
      </c>
      <c r="E29" t="s">
        <v>340</v>
      </c>
      <c r="F29" t="s">
        <v>340</v>
      </c>
      <c r="G29" t="s">
        <v>341</v>
      </c>
      <c r="H29" t="s">
        <v>342</v>
      </c>
      <c r="I29" s="27">
        <f>I28+5%</f>
        <v>1.4000000000000001</v>
      </c>
      <c r="J29" s="27">
        <f>J28</f>
        <v>0.85</v>
      </c>
      <c r="O29" s="34">
        <f>O28</f>
        <v>35</v>
      </c>
      <c r="Q29">
        <f t="shared" si="9"/>
        <v>4</v>
      </c>
      <c r="S29">
        <f t="shared" si="7"/>
        <v>65</v>
      </c>
      <c r="W29">
        <f t="shared" si="8"/>
        <v>6</v>
      </c>
      <c r="AH29" s="24">
        <f t="shared" si="10"/>
        <v>13</v>
      </c>
      <c r="AL29">
        <v>4</v>
      </c>
    </row>
    <row r="32" spans="1:42">
      <c r="A32" s="93" t="s">
        <v>471</v>
      </c>
      <c r="B32" s="93" t="s">
        <v>2</v>
      </c>
      <c r="C32" s="93" t="s">
        <v>3</v>
      </c>
      <c r="D32" s="93" t="s">
        <v>472</v>
      </c>
      <c r="E32" s="93" t="s">
        <v>473</v>
      </c>
      <c r="F32" s="93" t="s">
        <v>240</v>
      </c>
      <c r="G32" s="93"/>
      <c r="H32" s="93" t="s">
        <v>474</v>
      </c>
      <c r="I32" s="94" t="s">
        <v>121</v>
      </c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5" t="s">
        <v>241</v>
      </c>
      <c r="AL32" s="95"/>
      <c r="AM32" s="95"/>
      <c r="AN32" s="95"/>
      <c r="AO32" s="95"/>
      <c r="AP32" s="94" t="inlineStr">
        <is>
          <t xml:space="preserve">Operation metadata</t>
        </is>
      </c>
    </row>
    <row r="33" spans="1:42">
      <c r="A33" s="93"/>
      <c r="B33" s="93"/>
      <c r="C33" s="93"/>
      <c r="D33" s="93"/>
      <c r="E33" s="93"/>
      <c r="F33" s="68" t="s">
        <v>477</v>
      </c>
      <c r="G33" s="68" t="s">
        <v>243</v>
      </c>
      <c r="H33" s="93"/>
      <c r="I33" s="46" t="s">
        <v>244</v>
      </c>
      <c r="J33" s="46" t="s">
        <v>245</v>
      </c>
      <c r="K33" s="46" t="s">
        <v>124</v>
      </c>
      <c r="L33" s="46" t="s">
        <v>246</v>
      </c>
      <c r="M33" s="46" t="s">
        <v>125</v>
      </c>
      <c r="N33" s="46" t="s">
        <v>247</v>
      </c>
      <c r="O33" s="46" t="s">
        <v>248</v>
      </c>
      <c r="P33" s="46" t="s">
        <v>249</v>
      </c>
      <c r="Q33" s="46" t="s">
        <v>250</v>
      </c>
      <c r="R33" s="46" t="s">
        <v>251</v>
      </c>
      <c r="S33" s="46" t="s">
        <v>8</v>
      </c>
      <c r="T33" s="46" t="s">
        <v>253</v>
      </c>
      <c r="U33" s="46" t="s">
        <v>126</v>
      </c>
      <c r="V33" s="46" t="s">
        <v>478</v>
      </c>
      <c r="W33" s="46" t="s">
        <v>127</v>
      </c>
      <c r="X33" s="46" t="s">
        <v>252</v>
      </c>
      <c r="Y33" s="46" t="s">
        <v>112</v>
      </c>
      <c r="Z33" s="46" t="s">
        <v>343</v>
      </c>
      <c r="AA33" s="53" t="s">
        <v>479</v>
      </c>
      <c r="AB33" s="46" t="s">
        <v>254</v>
      </c>
      <c r="AC33" s="46" t="s">
        <v>255</v>
      </c>
      <c r="AD33" s="46" t="s">
        <v>256</v>
      </c>
      <c r="AE33" s="46" t="s">
        <v>257</v>
      </c>
      <c r="AF33" s="46" t="s">
        <v>480</v>
      </c>
      <c r="AG33" s="46" t="s">
        <v>481</v>
      </c>
      <c r="AH33" s="47" t="s">
        <v>9</v>
      </c>
      <c r="AI33" s="46" t="s">
        <v>258</v>
      </c>
      <c r="AJ33" s="46" t="s">
        <v>259</v>
      </c>
      <c r="AK33" s="46" t="s">
        <v>260</v>
      </c>
      <c r="AL33" s="46" t="s">
        <v>261</v>
      </c>
      <c r="AM33" s="46" t="s">
        <v>262</v>
      </c>
      <c r="AN33" s="46" t="s">
        <v>263</v>
      </c>
      <c r="AO33" s="46" t="s">
        <v>264</v>
      </c>
      <c r="AP33" s="46" t="inlineStr">
        <is>
          <t xml:space="preserve">Direct operation / provenance</t>
        </is>
      </c>
    </row>
    <row r="34" spans="1:41">
      <c r="A34" s="85" t="s">
        <v>522</v>
      </c>
      <c r="B34" s="85" t="s">
        <v>523</v>
      </c>
      <c r="C34" s="15">
        <v>1939</v>
      </c>
      <c r="D34" s="15" t="s">
        <v>524</v>
      </c>
      <c r="E34" s="15" t="s">
        <v>525</v>
      </c>
      <c r="F34" s="15" t="s">
        <v>524</v>
      </c>
      <c r="G34" s="15" t="s">
        <v>524</v>
      </c>
      <c r="H34" s="15" t="s">
        <v>526</v>
      </c>
      <c r="O34" s="15">
        <v>2</v>
      </c>
      <c r="Q34" s="15">
        <v>2</v>
      </c>
      <c r="T34" s="15"/>
      <c r="AH34" s="25"/>
      <c r="AJ34">
        <v>5</v>
      </c>
      <c r="AL34">
        <v>2</v>
      </c>
    </row>
    <row r="35" spans="1:41">
      <c r="A35" s="71"/>
      <c r="B35" s="71"/>
      <c r="C35">
        <v>1939</v>
      </c>
      <c r="D35" t="s">
        <v>528</v>
      </c>
      <c r="E35" t="s">
        <v>525</v>
      </c>
      <c r="F35" t="s">
        <v>528</v>
      </c>
      <c r="G35" t="s">
        <v>528</v>
      </c>
      <c r="H35" t="s">
        <v>529</v>
      </c>
      <c r="J35" s="27">
        <v>0.02</v>
      </c>
      <c r="O35">
        <f>O34-0.25</f>
        <v>1.75</v>
      </c>
      <c r="Q35">
        <f>Q34-0.25</f>
        <v>1.75</v>
      </c>
      <c r="T35" s="27">
        <f>T34-10%</f>
        <v>-0.1</v>
      </c>
      <c r="AH35" s="24">
        <f>AH34-1.5</f>
        <v>-1.5</v>
      </c>
      <c r="AI35" s="27">
        <v>-0.1</v>
      </c>
      <c r="AJ35">
        <f>AJ34+1</f>
        <v>6</v>
      </c>
      <c r="AL35">
        <v>2</v>
      </c>
    </row>
    <row r="36" spans="1:41">
      <c r="A36" s="71"/>
      <c r="B36" s="71"/>
      <c r="C36">
        <v>1955</v>
      </c>
      <c r="D36" t="s">
        <v>531</v>
      </c>
      <c r="E36" t="s">
        <v>532</v>
      </c>
      <c r="F36" t="s">
        <v>531</v>
      </c>
      <c r="G36" t="s">
        <v>531</v>
      </c>
      <c r="H36" t="s">
        <v>533</v>
      </c>
      <c r="O36">
        <f>O34+0.25</f>
        <v>2.25</v>
      </c>
      <c r="Q36">
        <f>Q34+0.25</f>
        <v>2.25</v>
      </c>
      <c r="T36" s="27">
        <f>T34+25%</f>
        <v>0.25</v>
      </c>
      <c r="W36">
        <v>0.2</v>
      </c>
      <c r="AH36" s="24">
        <f>AH34+1.5</f>
        <v>1.5</v>
      </c>
      <c r="AJ36">
        <f>AJ34+0.5</f>
        <v>5.5</v>
      </c>
      <c r="AL36">
        <v>2</v>
      </c>
    </row>
    <row r="37" spans="1:41">
      <c r="A37" s="71"/>
      <c r="B37" s="71"/>
      <c r="C37">
        <v>1955</v>
      </c>
      <c r="D37" t="s">
        <v>532</v>
      </c>
      <c r="E37" t="s">
        <v>532</v>
      </c>
      <c r="F37" t="s">
        <v>535</v>
      </c>
      <c r="G37" t="s">
        <v>535</v>
      </c>
      <c r="H37" t="s">
        <v>536</v>
      </c>
      <c r="I37" s="27">
        <v>-0.05</v>
      </c>
      <c r="O37">
        <f>O34+0.5</f>
        <v>2.5</v>
      </c>
      <c r="Q37">
        <f>Q34+0.5</f>
        <v>2.5</v>
      </c>
      <c r="T37" s="27">
        <f>T34+50%</f>
        <v>0.5</v>
      </c>
      <c r="W37">
        <v>-0.4</v>
      </c>
      <c r="AH37" s="24">
        <f>AH36+0.5</f>
        <v>2</v>
      </c>
      <c r="AJ37">
        <f>AJ36+1</f>
        <v>6.5</v>
      </c>
      <c r="AL37">
        <v>1</v>
      </c>
      <c r="AM37">
        <v>1</v>
      </c>
    </row>
    <row r="38" spans="1:41">
      <c r="A38" s="71"/>
      <c r="B38" s="71"/>
      <c r="C38">
        <v>1965</v>
      </c>
      <c r="D38" t="s">
        <v>538</v>
      </c>
      <c r="E38" t="s">
        <v>538</v>
      </c>
      <c r="F38" t="s">
        <v>539</v>
      </c>
      <c r="G38" t="s">
        <v>539</v>
      </c>
      <c r="H38" t="s">
        <v>540</v>
      </c>
      <c r="O38">
        <f>O37+0.5</f>
        <v>3</v>
      </c>
      <c r="Q38">
        <f>Q37+0.5</f>
        <v>3</v>
      </c>
      <c r="T38" s="27">
        <f>T34+75%</f>
        <v>0.75</v>
      </c>
      <c r="W38">
        <f>W37</f>
        <v>-0.4</v>
      </c>
      <c r="AH38" s="24">
        <f>AH37+0.5</f>
        <v>2.5</v>
      </c>
      <c r="AJ38">
        <f>AJ37-0.5</f>
        <v>6</v>
      </c>
      <c r="AL38">
        <v>1</v>
      </c>
      <c r="AM38">
        <v>1</v>
      </c>
    </row>
    <row r="39" spans="1:41">
      <c r="A39" s="71"/>
      <c r="B39" s="71"/>
      <c r="C39">
        <v>1975</v>
      </c>
      <c r="D39" t="s">
        <v>542</v>
      </c>
      <c r="E39" t="s">
        <v>542</v>
      </c>
      <c r="F39" t="s">
        <v>542</v>
      </c>
      <c r="G39" t="s">
        <v>543</v>
      </c>
      <c r="H39" t="s">
        <v>544</v>
      </c>
      <c r="O39">
        <f>O38+0.5</f>
        <v>3.5</v>
      </c>
      <c r="Q39">
        <f>Q38+0.5</f>
        <v>3.5</v>
      </c>
      <c r="T39" s="27">
        <f>T34+100%</f>
        <v>1</v>
      </c>
      <c r="W39">
        <f>W38-0.2</f>
        <v>-0.60000000000000009</v>
      </c>
      <c r="AH39" s="24">
        <f>AH38+0.5</f>
        <v>3</v>
      </c>
      <c r="AJ39">
        <f>AJ38-0.5</f>
        <v>5.5</v>
      </c>
      <c r="AL39">
        <v>2</v>
      </c>
      <c r="AM39">
        <v>1</v>
      </c>
    </row>
    <row r="40" spans="1:41">
      <c r="A40" s="71"/>
      <c r="B40" s="71"/>
      <c r="C40">
        <v>1985</v>
      </c>
      <c r="D40" t="s">
        <v>546</v>
      </c>
      <c r="E40" t="s">
        <v>546</v>
      </c>
      <c r="F40" t="s">
        <v>546</v>
      </c>
      <c r="G40" t="s">
        <v>547</v>
      </c>
      <c r="H40" t="s">
        <v>548</v>
      </c>
      <c r="O40">
        <f>O39+0.5</f>
        <v>4</v>
      </c>
      <c r="Q40">
        <f>Q39+0.5</f>
        <v>4</v>
      </c>
      <c r="T40" s="27">
        <f>T39+25%</f>
        <v>1.25</v>
      </c>
      <c r="W40">
        <f>W39-0.2</f>
        <v>-0.8</v>
      </c>
      <c r="AH40" s="24">
        <f>AH39+0.5</f>
        <v>3.5</v>
      </c>
      <c r="AJ40">
        <f>AJ39-0.5</f>
        <v>5</v>
      </c>
      <c r="AL40">
        <v>3</v>
      </c>
      <c r="AM40">
        <v>1</v>
      </c>
    </row>
    <row r="41" spans="1:41">
      <c r="A41" s="71"/>
      <c r="B41" s="71"/>
      <c r="C41">
        <v>1995</v>
      </c>
      <c r="D41" t="s">
        <v>550</v>
      </c>
      <c r="E41" t="s">
        <v>550</v>
      </c>
      <c r="F41" t="s">
        <v>550</v>
      </c>
      <c r="G41" t="s">
        <v>551</v>
      </c>
      <c r="H41" t="s">
        <v>552</v>
      </c>
      <c r="O41">
        <f>O40+0.5</f>
        <v>4.5</v>
      </c>
      <c r="Q41">
        <f>Q40+0.5</f>
        <v>4.5</v>
      </c>
      <c r="T41" s="27">
        <f>T40+25%</f>
        <v>1.5</v>
      </c>
      <c r="W41">
        <f>W40-0.2</f>
        <v>-1</v>
      </c>
      <c r="AH41" s="24">
        <f>AH40+0.5</f>
        <v>4</v>
      </c>
      <c r="AJ41">
        <f>AJ40-0.5</f>
        <v>4.5</v>
      </c>
      <c r="AL41">
        <v>3</v>
      </c>
      <c r="AM41">
        <v>1</v>
      </c>
    </row>
    <row r="42" spans="1:41">
      <c r="A42" s="71"/>
      <c r="B42" s="71"/>
      <c r="C42">
        <v>2010</v>
      </c>
      <c r="D42" t="s">
        <v>553</v>
      </c>
      <c r="E42" t="s">
        <v>553</v>
      </c>
      <c r="F42" t="s">
        <v>553</v>
      </c>
      <c r="G42" t="s">
        <v>554</v>
      </c>
      <c r="H42" t="s">
        <v>555</v>
      </c>
      <c r="O42">
        <f>O41+0.5</f>
        <v>5</v>
      </c>
      <c r="Q42">
        <f>Q41+0.5</f>
        <v>5</v>
      </c>
      <c r="T42" s="27">
        <f>T41+25%</f>
        <v>1.75</v>
      </c>
      <c r="W42">
        <f>W41-0.2</f>
        <v>-1.2</v>
      </c>
      <c r="AH42" s="24">
        <f>AH41+0.5</f>
        <v>4.5</v>
      </c>
      <c r="AJ42">
        <f>AJ41-0.5</f>
        <v>4</v>
      </c>
      <c r="AL42">
        <v>3</v>
      </c>
      <c r="AM42">
        <v>1</v>
      </c>
    </row>
    <row r="43" spans="1:41">
      <c r="A43" s="71"/>
      <c r="B43" s="71"/>
      <c r="C43">
        <v>1985</v>
      </c>
      <c r="D43" t="s">
        <v>556</v>
      </c>
      <c r="E43" t="s">
        <v>556</v>
      </c>
      <c r="F43" t="s">
        <v>556</v>
      </c>
      <c r="G43" t="s">
        <v>557</v>
      </c>
      <c r="H43" t="s">
        <v>558</v>
      </c>
      <c r="O43">
        <f>O38+0.75</f>
        <v>3.75</v>
      </c>
      <c r="Q43">
        <f>Q38+0.75</f>
        <v>3.75</v>
      </c>
      <c r="T43" s="27">
        <f>T34+135%</f>
        <v>1.35</v>
      </c>
      <c r="W43">
        <f>W39-0.3</f>
        <v>-0.90000000000000013</v>
      </c>
      <c r="AH43" s="24">
        <f>AH39+0.75</f>
        <v>3.75</v>
      </c>
      <c r="AJ43">
        <f>AJ39</f>
        <v>5.5</v>
      </c>
      <c r="AL43">
        <v>3</v>
      </c>
      <c r="AM43">
        <v>1</v>
      </c>
    </row>
    <row r="44" spans="1:41">
      <c r="A44" s="71"/>
      <c r="B44" s="71"/>
      <c r="C44">
        <v>1995</v>
      </c>
      <c r="D44" t="s">
        <v>559</v>
      </c>
      <c r="E44" t="s">
        <v>559</v>
      </c>
      <c r="F44" t="s">
        <v>559</v>
      </c>
      <c r="G44" t="s">
        <v>560</v>
      </c>
      <c r="H44" t="s">
        <v>561</v>
      </c>
      <c r="O44">
        <f>O43+0.75</f>
        <v>4.5</v>
      </c>
      <c r="Q44">
        <f>Q43+0.75</f>
        <v>4.5</v>
      </c>
      <c r="T44" s="27">
        <f>T43+25%</f>
        <v>1.6</v>
      </c>
      <c r="W44">
        <f>W43-0.3</f>
        <v>-1.2000000000000002</v>
      </c>
      <c r="AH44" s="24">
        <f>AH43+0.75</f>
        <v>4.5</v>
      </c>
      <c r="AJ44">
        <f>AJ40</f>
        <v>5</v>
      </c>
      <c r="AL44">
        <v>3</v>
      </c>
      <c r="AM44">
        <v>1</v>
      </c>
    </row>
    <row r="45" spans="1:41">
      <c r="A45" s="71"/>
      <c r="B45" s="71"/>
      <c r="C45">
        <v>2010</v>
      </c>
      <c r="D45" t="s">
        <v>562</v>
      </c>
      <c r="E45" t="s">
        <v>562</v>
      </c>
      <c r="F45" t="s">
        <v>562</v>
      </c>
      <c r="G45" t="s">
        <v>563</v>
      </c>
      <c r="H45" t="s">
        <v>564</v>
      </c>
      <c r="O45">
        <f>O44+0.75</f>
        <v>5.25</v>
      </c>
      <c r="Q45">
        <f>Q44+0.75</f>
        <v>5.25</v>
      </c>
      <c r="T45" s="27">
        <f>T44+25%</f>
        <v>1.85</v>
      </c>
      <c r="W45">
        <f>W44-0.3</f>
        <v>-1.5000000000000002</v>
      </c>
      <c r="AH45" s="24">
        <f>AH44+0.75</f>
        <v>5.25</v>
      </c>
      <c r="AJ45">
        <f>AJ41</f>
        <v>4.5</v>
      </c>
      <c r="AL45">
        <v>3</v>
      </c>
      <c r="AM45">
        <v>1</v>
      </c>
    </row>
    <row r="46" spans="1:41">
      <c r="A46" s="71"/>
      <c r="B46" s="71"/>
      <c r="C46">
        <v>1955</v>
      </c>
      <c r="D46" t="s">
        <v>565</v>
      </c>
      <c r="E46" t="s">
        <v>565</v>
      </c>
      <c r="F46" t="s">
        <v>565</v>
      </c>
      <c r="G46" t="s">
        <v>566</v>
      </c>
      <c r="H46" t="s">
        <v>567</v>
      </c>
      <c r="I46" s="27">
        <v>0.1</v>
      </c>
      <c r="J46" s="38">
        <v>2.5000000000000001E-2</v>
      </c>
      <c r="O46">
        <f>O34-0.5</f>
        <v>1.5</v>
      </c>
      <c r="Q46">
        <f>Q34-0.5</f>
        <v>1.5</v>
      </c>
      <c r="T46" s="27">
        <f>T34-15%</f>
        <v>-0.15</v>
      </c>
      <c r="W46">
        <v>2</v>
      </c>
      <c r="AH46" s="24">
        <f>AH34+1</f>
        <v>1</v>
      </c>
      <c r="AJ46">
        <f>AJ34-3</f>
        <v>2</v>
      </c>
      <c r="AM46">
        <v>2</v>
      </c>
    </row>
    <row r="47" spans="1:41">
      <c r="A47" s="71"/>
      <c r="B47" s="71"/>
      <c r="C47">
        <v>1965</v>
      </c>
      <c r="D47" t="s">
        <v>568</v>
      </c>
      <c r="E47" t="s">
        <v>568</v>
      </c>
      <c r="F47" t="s">
        <v>568</v>
      </c>
      <c r="G47" t="s">
        <v>569</v>
      </c>
      <c r="H47" t="s">
        <v>570</v>
      </c>
      <c r="I47" s="27">
        <v>0.1</v>
      </c>
      <c r="J47" s="37">
        <f>J46+2.5%</f>
        <v>0.05</v>
      </c>
      <c r="O47">
        <f>O46+0.25</f>
        <v>1.75</v>
      </c>
      <c r="Q47">
        <f>Q46+0.25</f>
        <v>1.75</v>
      </c>
      <c r="T47" s="27">
        <f>T46+5%</f>
        <v>-9.9999999999999992E-2</v>
      </c>
      <c r="W47">
        <v>1.5</v>
      </c>
      <c r="AH47" s="24">
        <f>AH46+0.5</f>
        <v>1.5</v>
      </c>
      <c r="AJ47">
        <f>AJ46+0.5</f>
        <v>2.5</v>
      </c>
      <c r="AM47">
        <v>2</v>
      </c>
    </row>
    <row r="48" spans="1:41">
      <c r="A48" s="71"/>
    </row>
    <row r="49" spans="1:39">
      <c r="A49" s="71"/>
      <c r="B49" s="96" t="s">
        <v>571</v>
      </c>
      <c r="C49" s="15">
        <v>1965</v>
      </c>
      <c r="D49" s="15" t="s">
        <v>572</v>
      </c>
      <c r="E49" t="s">
        <v>538</v>
      </c>
      <c r="G49" s="15" t="s">
        <v>572</v>
      </c>
      <c r="H49" s="15" t="s">
        <v>573</v>
      </c>
      <c r="O49" s="15">
        <v>1</v>
      </c>
      <c r="Q49" s="15">
        <v>1</v>
      </c>
      <c r="T49" s="26">
        <v>0.2</v>
      </c>
      <c r="W49" s="15">
        <v>-0.2</v>
      </c>
      <c r="AH49" s="25">
        <v>1.5</v>
      </c>
      <c r="AJ49" s="15">
        <v>0.1</v>
      </c>
      <c r="AL49">
        <v>1</v>
      </c>
    </row>
    <row r="50" spans="1:39">
      <c r="A50" s="71"/>
      <c r="B50" s="96"/>
      <c r="C50">
        <v>1975</v>
      </c>
      <c r="D50" t="s">
        <v>574</v>
      </c>
      <c r="E50" t="s">
        <v>542</v>
      </c>
      <c r="G50" t="s">
        <v>575</v>
      </c>
      <c r="H50" t="s">
        <v>576</v>
      </c>
      <c r="O50">
        <f t="shared" ref="O50:O53" si="11">O49+0.5</f>
        <v>1.5</v>
      </c>
      <c r="Q50">
        <f t="shared" ref="Q50:Q53" si="12">Q49+0.5</f>
        <v>1.5</v>
      </c>
      <c r="T50" s="27">
        <f>T49+10%</f>
        <v>0.30000000000000004</v>
      </c>
      <c r="W50">
        <f>W49-0.1</f>
        <v>-0.30000000000000004</v>
      </c>
      <c r="AH50" s="24">
        <f>AH49+0.25</f>
        <v>1.75</v>
      </c>
      <c r="AJ50">
        <f>AJ49</f>
        <v>0.1</v>
      </c>
      <c r="AL50">
        <v>1</v>
      </c>
    </row>
    <row r="51" spans="1:39">
      <c r="A51" s="71"/>
      <c r="B51" s="96"/>
      <c r="C51">
        <v>1985</v>
      </c>
      <c r="D51" t="s">
        <v>577</v>
      </c>
      <c r="E51" t="s">
        <v>546</v>
      </c>
      <c r="G51" t="s">
        <v>578</v>
      </c>
      <c r="H51" t="s">
        <v>579</v>
      </c>
      <c r="O51">
        <f t="shared" si="11"/>
        <v>2</v>
      </c>
      <c r="Q51">
        <f t="shared" si="12"/>
        <v>2</v>
      </c>
      <c r="T51" s="27">
        <f>T50+10%</f>
        <v>0.4</v>
      </c>
      <c r="W51">
        <f>W50-0.1</f>
        <v>-0.4</v>
      </c>
      <c r="AH51" s="24">
        <f>AH50+0.25</f>
        <v>2</v>
      </c>
      <c r="AJ51">
        <f>AJ50</f>
        <v>0.1</v>
      </c>
      <c r="AL51">
        <v>1</v>
      </c>
    </row>
    <row r="52" spans="1:39">
      <c r="A52" s="71"/>
      <c r="B52" s="96"/>
      <c r="C52">
        <v>1995</v>
      </c>
      <c r="D52" t="s">
        <v>580</v>
      </c>
      <c r="E52" t="s">
        <v>550</v>
      </c>
      <c r="G52" t="s">
        <v>581</v>
      </c>
      <c r="H52" t="s">
        <v>582</v>
      </c>
      <c r="O52">
        <f t="shared" si="11"/>
        <v>2.5</v>
      </c>
      <c r="Q52">
        <f t="shared" si="12"/>
        <v>2.5</v>
      </c>
      <c r="T52" s="27">
        <f>T51+10%</f>
        <v>0.5</v>
      </c>
      <c r="W52">
        <f>W51-0.1</f>
        <v>-0.5</v>
      </c>
      <c r="AH52" s="24">
        <f>AH51+0.25</f>
        <v>2.25</v>
      </c>
      <c r="AJ52">
        <f>AJ51</f>
        <v>0.1</v>
      </c>
      <c r="AL52">
        <v>1</v>
      </c>
    </row>
    <row r="53" spans="1:39">
      <c r="A53" s="71"/>
      <c r="B53" s="96"/>
      <c r="C53">
        <v>2010</v>
      </c>
      <c r="D53" t="s">
        <v>583</v>
      </c>
      <c r="E53" t="s">
        <v>553</v>
      </c>
      <c r="G53" t="s">
        <v>584</v>
      </c>
      <c r="H53" t="s">
        <v>585</v>
      </c>
      <c r="O53">
        <f t="shared" si="11"/>
        <v>3</v>
      </c>
      <c r="Q53">
        <f t="shared" si="12"/>
        <v>3</v>
      </c>
      <c r="T53" s="27">
        <f>T52+10%</f>
        <v>0.6</v>
      </c>
      <c r="W53">
        <f>W52-0.1</f>
        <v>-0.6</v>
      </c>
      <c r="AH53" s="24">
        <f>AH52+0.25</f>
        <v>2.5</v>
      </c>
      <c r="AJ53">
        <f>AJ52</f>
        <v>0.1</v>
      </c>
      <c r="AL53">
        <v>1</v>
      </c>
    </row>
    <row r="54" spans="1:39">
      <c r="A54" s="71"/>
      <c r="B54" s="96"/>
      <c r="C54" s="15">
        <v>1995</v>
      </c>
      <c r="D54" s="15" t="s">
        <v>586</v>
      </c>
      <c r="E54" s="15" t="s">
        <v>586</v>
      </c>
      <c r="G54" s="15" t="s">
        <v>587</v>
      </c>
      <c r="H54" s="15" t="s">
        <v>588</v>
      </c>
      <c r="J54" s="26">
        <v>0.05</v>
      </c>
      <c r="O54" s="15">
        <v>0.5</v>
      </c>
      <c r="Q54" s="15">
        <v>0.5</v>
      </c>
      <c r="S54">
        <v>20</v>
      </c>
      <c r="T54" s="26">
        <v>0.25</v>
      </c>
      <c r="W54" s="15">
        <v>-0.2</v>
      </c>
      <c r="AH54" s="25">
        <v>1.25</v>
      </c>
      <c r="AJ54" s="15">
        <v>0.1</v>
      </c>
      <c r="AM54">
        <v>1</v>
      </c>
    </row>
    <row r="55" spans="1:39">
      <c r="A55" s="71"/>
      <c r="B55" s="96"/>
      <c r="C55">
        <v>2005</v>
      </c>
      <c r="D55" t="s">
        <v>589</v>
      </c>
      <c r="E55" t="s">
        <v>589</v>
      </c>
      <c r="G55" t="s">
        <v>590</v>
      </c>
      <c r="H55" t="s">
        <v>591</v>
      </c>
      <c r="J55" s="28">
        <f>J54+2.5%</f>
        <v>7.5000000000000011E-2</v>
      </c>
      <c r="O55">
        <f>O54+0.5</f>
        <v>1</v>
      </c>
      <c r="Q55">
        <f>Q54+0.5</f>
        <v>1</v>
      </c>
      <c r="S55">
        <v>30</v>
      </c>
      <c r="T55" s="27">
        <f>T54+5%</f>
        <v>0.3</v>
      </c>
      <c r="W55">
        <f>W54-0.05</f>
        <v>-0.25</v>
      </c>
      <c r="AH55" s="24">
        <f>AH54+0.5</f>
        <v>1.75</v>
      </c>
      <c r="AJ55">
        <f>AJ54</f>
        <v>0.1</v>
      </c>
      <c r="AM55">
        <v>1</v>
      </c>
    </row>
    <row r="56" spans="1:39">
      <c r="A56" s="71"/>
    </row>
    <row r="57" spans="1:39">
      <c r="A57" s="71"/>
      <c r="B57" s="71" t="s">
        <v>592</v>
      </c>
      <c r="C57" s="15">
        <v>1975</v>
      </c>
      <c r="D57" s="15" t="s">
        <v>593</v>
      </c>
      <c r="E57" s="15" t="s">
        <v>593</v>
      </c>
      <c r="G57" s="15" t="s">
        <v>594</v>
      </c>
      <c r="H57" s="15" t="s">
        <v>595</v>
      </c>
      <c r="O57" s="15">
        <v>3</v>
      </c>
      <c r="P57" s="15"/>
      <c r="Q57" s="15">
        <v>1.5</v>
      </c>
      <c r="T57" s="26">
        <v>0.05</v>
      </c>
      <c r="W57" s="15">
        <v>-0.1</v>
      </c>
      <c r="AH57" s="25">
        <v>1</v>
      </c>
      <c r="AI57" s="15"/>
      <c r="AJ57" s="15">
        <v>0.05</v>
      </c>
    </row>
    <row r="58" spans="1:39">
      <c r="A58" s="71"/>
      <c r="B58" s="71"/>
      <c r="C58">
        <v>1985</v>
      </c>
      <c r="D58" t="s">
        <v>596</v>
      </c>
      <c r="E58" t="s">
        <v>596</v>
      </c>
      <c r="G58" t="s">
        <v>597</v>
      </c>
      <c r="H58" t="s">
        <v>598</v>
      </c>
      <c r="O58">
        <f>O57+3</f>
        <v>6</v>
      </c>
      <c r="Q58">
        <f>Q57+1.5</f>
        <v>3</v>
      </c>
      <c r="T58" s="27">
        <f>T57+10%</f>
        <v>0.15000000000000002</v>
      </c>
      <c r="W58">
        <f>W57-0.1</f>
        <v>-0.2</v>
      </c>
      <c r="AH58" s="24">
        <f>AH57+0.75</f>
        <v>1.75</v>
      </c>
      <c r="AJ58">
        <f>AJ57</f>
        <v>0.05</v>
      </c>
    </row>
    <row r="59" spans="1:39">
      <c r="A59" s="71"/>
      <c r="B59" s="71"/>
      <c r="C59">
        <v>1985</v>
      </c>
      <c r="D59" t="s">
        <v>599</v>
      </c>
      <c r="E59" t="s">
        <v>596</v>
      </c>
      <c r="G59" t="s">
        <v>600</v>
      </c>
      <c r="H59" t="s">
        <v>601</v>
      </c>
      <c r="O59">
        <f>O58+1</f>
        <v>7</v>
      </c>
      <c r="Q59">
        <f>Q58+0.5</f>
        <v>3.5</v>
      </c>
      <c r="T59" s="27">
        <f>T58+5%</f>
        <v>0.2</v>
      </c>
      <c r="W59">
        <f>W57-0.3</f>
        <v>-0.4</v>
      </c>
      <c r="AH59" s="24">
        <f>AH58-0.25</f>
        <v>1.5</v>
      </c>
      <c r="AJ59">
        <f>AJ58</f>
        <v>0.05</v>
      </c>
    </row>
    <row r="60" spans="1:39">
      <c r="A60" s="71"/>
      <c r="B60" s="71"/>
      <c r="C60">
        <v>2005</v>
      </c>
      <c r="D60" t="s">
        <v>602</v>
      </c>
      <c r="E60" t="s">
        <v>602</v>
      </c>
      <c r="G60" t="s">
        <v>603</v>
      </c>
      <c r="H60" t="s">
        <v>604</v>
      </c>
      <c r="O60">
        <f>O58+3</f>
        <v>9</v>
      </c>
      <c r="Q60">
        <f>Q58+1.5</f>
        <v>4.5</v>
      </c>
      <c r="T60" s="27">
        <f>T58+10%</f>
        <v>0.25</v>
      </c>
      <c r="W60">
        <f>W58-0.1</f>
        <v>-0.30000000000000004</v>
      </c>
      <c r="AH60" s="24">
        <f>AH58+0.75</f>
        <v>2.5</v>
      </c>
      <c r="AJ60">
        <f>AJ59</f>
        <v>0.05</v>
      </c>
    </row>
    <row r="61" spans="1:39">
      <c r="A61" s="71"/>
      <c r="B61" s="71"/>
      <c r="C61">
        <v>2015</v>
      </c>
      <c r="D61" t="s">
        <v>605</v>
      </c>
      <c r="E61" t="s">
        <v>605</v>
      </c>
      <c r="G61" t="s">
        <v>606</v>
      </c>
      <c r="H61" t="s">
        <v>607</v>
      </c>
      <c r="O61">
        <f>O60+3</f>
        <v>12</v>
      </c>
      <c r="Q61">
        <f>Q60+1.5</f>
        <v>6</v>
      </c>
      <c r="T61" s="27">
        <f>T60+10%</f>
        <v>0.35</v>
      </c>
      <c r="W61">
        <f>W60-0.1</f>
        <v>-0.4</v>
      </c>
      <c r="AH61" s="24">
        <f>AH60+0.75</f>
        <v>3.25</v>
      </c>
      <c r="AJ61">
        <f>AJ60</f>
        <v>0.05</v>
      </c>
    </row>
    <row r="62" spans="1:39">
      <c r="A62" s="71"/>
    </row>
    <row r="63" spans="1:39">
      <c r="A63" s="71"/>
      <c r="B63" s="71" t="s">
        <v>608</v>
      </c>
      <c r="C63" s="15">
        <v>1939</v>
      </c>
      <c r="D63" s="15" t="s">
        <v>609</v>
      </c>
      <c r="E63" s="15" t="s">
        <v>609</v>
      </c>
      <c r="G63" s="15" t="s">
        <v>610</v>
      </c>
      <c r="H63" s="15" t="s">
        <v>611</v>
      </c>
      <c r="O63" s="15">
        <v>1.5</v>
      </c>
      <c r="Q63" s="15">
        <v>2.5</v>
      </c>
      <c r="AH63" s="25">
        <v>0.5</v>
      </c>
      <c r="AI63" s="15"/>
      <c r="AJ63" s="15">
        <v>0.05</v>
      </c>
    </row>
    <row r="64" spans="1:39">
      <c r="A64" s="71"/>
      <c r="B64" s="71"/>
      <c r="C64">
        <v>1944</v>
      </c>
      <c r="D64" t="s">
        <v>612</v>
      </c>
      <c r="E64" t="s">
        <v>612</v>
      </c>
      <c r="G64" t="s">
        <v>613</v>
      </c>
      <c r="H64" t="s">
        <v>614</v>
      </c>
      <c r="O64">
        <f>O63+3.5</f>
        <v>5</v>
      </c>
      <c r="AD64">
        <v>0.25</v>
      </c>
      <c r="AH64" s="24">
        <f>AH63+0.5</f>
        <v>1</v>
      </c>
      <c r="AJ64">
        <f>AJ63+0.15</f>
        <v>0.2</v>
      </c>
    </row>
    <row r="65" spans="1:40">
      <c r="A65" s="71"/>
      <c r="B65" s="71"/>
      <c r="C65">
        <v>1975</v>
      </c>
      <c r="D65" t="s">
        <v>615</v>
      </c>
      <c r="E65" t="s">
        <v>615</v>
      </c>
      <c r="G65" t="s">
        <v>616</v>
      </c>
      <c r="H65" t="s">
        <v>617</v>
      </c>
      <c r="O65">
        <f>O63+2</f>
        <v>3.5</v>
      </c>
      <c r="Q65">
        <f>Q63+2.5</f>
        <v>5</v>
      </c>
      <c r="AH65" s="24">
        <f>AH63+0.75</f>
        <v>1.25</v>
      </c>
      <c r="AJ65">
        <f>AJ63</f>
        <v>0.05</v>
      </c>
    </row>
    <row r="66" spans="1:40">
      <c r="A66" s="71"/>
      <c r="B66" s="71"/>
      <c r="C66">
        <v>1985</v>
      </c>
      <c r="D66" t="s">
        <v>618</v>
      </c>
      <c r="E66" t="s">
        <v>618</v>
      </c>
      <c r="G66" t="s">
        <v>619</v>
      </c>
      <c r="H66" t="s">
        <v>620</v>
      </c>
      <c r="O66">
        <f>O65+2</f>
        <v>5.5</v>
      </c>
      <c r="Q66">
        <f>Q65+3</f>
        <v>8</v>
      </c>
      <c r="AH66" s="24">
        <f>AH65+0.5</f>
        <v>1.75</v>
      </c>
      <c r="AJ66">
        <f>AJ65</f>
        <v>0.05</v>
      </c>
    </row>
    <row r="67" spans="1:40">
      <c r="A67" s="71"/>
      <c r="B67" s="71"/>
      <c r="C67">
        <v>1995</v>
      </c>
      <c r="D67" t="s">
        <v>621</v>
      </c>
      <c r="E67" t="s">
        <v>621</v>
      </c>
      <c r="G67" t="s">
        <v>622</v>
      </c>
      <c r="H67" t="s">
        <v>623</v>
      </c>
      <c r="O67">
        <f>O66+2</f>
        <v>7.5</v>
      </c>
      <c r="Q67">
        <f>Q66+3</f>
        <v>11</v>
      </c>
      <c r="AH67" s="24">
        <f>AH66+0.5</f>
        <v>2.25</v>
      </c>
      <c r="AJ67">
        <f>AJ66</f>
        <v>0.05</v>
      </c>
    </row>
    <row r="68" spans="1:40">
      <c r="A68" s="71"/>
      <c r="B68" s="71"/>
      <c r="C68">
        <v>2015</v>
      </c>
      <c r="D68" t="s">
        <v>624</v>
      </c>
      <c r="E68" t="s">
        <v>624</v>
      </c>
      <c r="G68" t="s">
        <v>625</v>
      </c>
      <c r="H68" t="s">
        <v>626</v>
      </c>
      <c r="O68">
        <f>O67+2</f>
        <v>9.5</v>
      </c>
      <c r="Q68">
        <f>Q67+3</f>
        <v>14</v>
      </c>
      <c r="AH68" s="24">
        <f>AH67+0.5</f>
        <v>2.75</v>
      </c>
      <c r="AJ68">
        <f>AJ67</f>
        <v>0.05</v>
      </c>
    </row>
    <row r="69" spans="1:40">
      <c r="A69" s="71"/>
    </row>
    <row r="70" spans="1:40">
      <c r="A70" s="71"/>
      <c r="B70" s="71" t="s">
        <v>627</v>
      </c>
      <c r="C70" s="15">
        <v>1980</v>
      </c>
      <c r="D70" s="15" t="s">
        <v>628</v>
      </c>
      <c r="E70" s="15" t="s">
        <v>628</v>
      </c>
      <c r="G70" s="15" t="s">
        <v>629</v>
      </c>
      <c r="H70" s="15" t="s">
        <v>630</v>
      </c>
      <c r="I70" s="26">
        <v>-0.04</v>
      </c>
      <c r="O70" s="15">
        <v>6</v>
      </c>
      <c r="P70" s="15"/>
      <c r="Q70" s="15">
        <v>3</v>
      </c>
      <c r="R70" s="15"/>
      <c r="AD70" s="15">
        <v>0.15</v>
      </c>
      <c r="AH70" s="25">
        <v>5</v>
      </c>
      <c r="AI70" s="15"/>
      <c r="AJ70" s="15">
        <v>0.2</v>
      </c>
      <c r="AN70">
        <v>1</v>
      </c>
    </row>
    <row r="71" spans="1:40">
      <c r="A71" s="71"/>
      <c r="B71" s="71"/>
      <c r="C71">
        <v>1990</v>
      </c>
      <c r="D71" t="s">
        <v>631</v>
      </c>
      <c r="E71" t="s">
        <v>631</v>
      </c>
      <c r="G71" t="s">
        <v>632</v>
      </c>
      <c r="H71" t="s">
        <v>633</v>
      </c>
      <c r="I71" s="28">
        <f>I70+0.5%</f>
        <v>-3.5000000000000003E-2</v>
      </c>
      <c r="O71">
        <f>O70+3.5</f>
        <v>9.5</v>
      </c>
      <c r="Q71">
        <f>Q70+1.75</f>
        <v>4.75</v>
      </c>
      <c r="AD71">
        <f>AD70+0.1</f>
        <v>0.25</v>
      </c>
      <c r="AH71" s="24">
        <f>AH70+0.5</f>
        <v>5.5</v>
      </c>
      <c r="AJ71">
        <f>AJ70+0.05</f>
        <v>0.25</v>
      </c>
      <c r="AN71">
        <v>1</v>
      </c>
    </row>
    <row r="72" spans="1:40">
      <c r="A72" s="71"/>
      <c r="B72" s="71"/>
      <c r="C72">
        <v>2005</v>
      </c>
      <c r="D72" t="s">
        <v>634</v>
      </c>
      <c r="E72" t="s">
        <v>634</v>
      </c>
      <c r="G72" t="s">
        <v>635</v>
      </c>
      <c r="H72" t="s">
        <v>636</v>
      </c>
      <c r="I72" s="27">
        <f>I71+0.5%</f>
        <v>-3.0000000000000002E-2</v>
      </c>
      <c r="O72">
        <f>O71+3.5</f>
        <v>13</v>
      </c>
      <c r="Q72">
        <f>Q71+1.75</f>
        <v>6.5</v>
      </c>
      <c r="AD72">
        <f>AD71+0.1</f>
        <v>0.35</v>
      </c>
      <c r="AH72" s="24">
        <f>AH71+0.5</f>
        <v>6</v>
      </c>
      <c r="AJ72">
        <f>AJ71+0.05</f>
        <v>0.3</v>
      </c>
      <c r="AN72">
        <v>2</v>
      </c>
    </row>
    <row r="73" spans="1:40">
      <c r="A73" s="71"/>
      <c r="B73" s="71"/>
      <c r="C73">
        <v>2015</v>
      </c>
      <c r="D73" t="s">
        <v>637</v>
      </c>
      <c r="E73" t="s">
        <v>637</v>
      </c>
      <c r="G73" t="s">
        <v>638</v>
      </c>
      <c r="H73" t="s">
        <v>639</v>
      </c>
      <c r="I73" s="28">
        <f>I72+0.5%</f>
        <v>-2.5000000000000001E-2</v>
      </c>
      <c r="O73">
        <f>O72+3.5</f>
        <v>16.5</v>
      </c>
      <c r="Q73">
        <f>Q72+1.75</f>
        <v>8.25</v>
      </c>
      <c r="AD73">
        <f>AD72+0.1</f>
        <v>0.44999999999999996</v>
      </c>
      <c r="AH73" s="24">
        <f>AH72+0.5</f>
        <v>6.5</v>
      </c>
      <c r="AJ73">
        <f>AJ72+0.05</f>
        <v>0.35</v>
      </c>
      <c r="AN73">
        <v>2</v>
      </c>
    </row>
    <row r="74" spans="1:40">
      <c r="A74" s="71"/>
      <c r="B74" s="71"/>
      <c r="C74" s="15">
        <v>1990</v>
      </c>
      <c r="D74" s="15" t="s">
        <v>640</v>
      </c>
      <c r="E74" s="15" t="s">
        <v>640</v>
      </c>
      <c r="G74" s="15" t="s">
        <v>641</v>
      </c>
      <c r="H74" s="15" t="s">
        <v>642</v>
      </c>
      <c r="I74" s="15"/>
      <c r="O74" s="15">
        <v>2</v>
      </c>
      <c r="P74" s="26">
        <v>0.05</v>
      </c>
      <c r="Q74" s="15">
        <v>4</v>
      </c>
      <c r="R74" s="26">
        <v>0.05</v>
      </c>
      <c r="AD74" s="15">
        <v>0.15</v>
      </c>
      <c r="AH74" s="25">
        <v>1.5</v>
      </c>
      <c r="AI74" s="15"/>
      <c r="AJ74" s="15">
        <v>0.1</v>
      </c>
      <c r="AN74">
        <v>1</v>
      </c>
    </row>
    <row r="75" spans="1:40">
      <c r="A75" s="71"/>
      <c r="B75" s="71"/>
      <c r="C75">
        <v>2010</v>
      </c>
      <c r="D75" t="s">
        <v>643</v>
      </c>
      <c r="E75" t="s">
        <v>643</v>
      </c>
      <c r="G75" t="s">
        <v>644</v>
      </c>
      <c r="H75" t="s">
        <v>645</v>
      </c>
      <c r="O75">
        <f>O74+2</f>
        <v>4</v>
      </c>
      <c r="P75" s="27">
        <f>P74+5%</f>
        <v>0.1</v>
      </c>
      <c r="Q75">
        <f>Q74+4</f>
        <v>8</v>
      </c>
      <c r="R75" s="27">
        <f>R74+5%</f>
        <v>0.1</v>
      </c>
      <c r="AD75">
        <f>AD74+0.2</f>
        <v>0.35</v>
      </c>
      <c r="AH75" s="24">
        <f>AH74+1.5</f>
        <v>3</v>
      </c>
      <c r="AJ75">
        <f>AJ74+0.1</f>
        <v>0.2</v>
      </c>
      <c r="AN75">
        <v>2</v>
      </c>
    </row>
    <row r="76" spans="1:40">
      <c r="A76" s="71"/>
    </row>
    <row r="77" spans="1:40">
      <c r="A77" s="71"/>
      <c r="B77" s="71" t="s">
        <v>646</v>
      </c>
      <c r="C77" s="15">
        <v>1942</v>
      </c>
      <c r="D77" s="15" t="s">
        <v>647</v>
      </c>
      <c r="E77" s="15" t="s">
        <v>647</v>
      </c>
      <c r="G77" s="15" t="s">
        <v>648</v>
      </c>
      <c r="H77" s="15" t="s">
        <v>649</v>
      </c>
      <c r="I77" s="26">
        <v>0.05</v>
      </c>
      <c r="AH77" s="25">
        <v>1</v>
      </c>
      <c r="AI77" s="15"/>
      <c r="AJ77" s="15">
        <v>0.1</v>
      </c>
    </row>
    <row r="78" spans="1:40">
      <c r="A78" s="71"/>
      <c r="B78" s="71"/>
      <c r="C78">
        <v>1950</v>
      </c>
      <c r="D78" t="s">
        <v>650</v>
      </c>
      <c r="E78" t="s">
        <v>650</v>
      </c>
      <c r="G78" t="s">
        <v>651</v>
      </c>
      <c r="H78" t="s">
        <v>652</v>
      </c>
      <c r="I78" s="28">
        <f>I77+2.5%</f>
        <v>7.5000000000000011E-2</v>
      </c>
      <c r="AH78" s="24">
        <f>AH77+0.5</f>
        <v>1.5</v>
      </c>
      <c r="AJ78">
        <f>AJ77+0.05</f>
        <v>0.15000000000000002</v>
      </c>
    </row>
    <row r="79" spans="1:40">
      <c r="A79" s="71"/>
      <c r="B79" s="71"/>
      <c r="C79">
        <v>1975</v>
      </c>
      <c r="D79" t="s">
        <v>653</v>
      </c>
      <c r="E79" t="s">
        <v>653</v>
      </c>
      <c r="G79" t="s">
        <v>654</v>
      </c>
      <c r="H79" t="s">
        <v>655</v>
      </c>
      <c r="I79" s="27">
        <f>I78+2.5%</f>
        <v>0.1</v>
      </c>
      <c r="AH79" s="24">
        <f>AH78+0.5</f>
        <v>2</v>
      </c>
      <c r="AJ79">
        <f>AJ78+0.05</f>
        <v>0.2</v>
      </c>
    </row>
    <row r="82" spans="1:43">
      <c r="A82" s="93" t="s">
        <v>471</v>
      </c>
      <c r="B82" s="93" t="s">
        <v>2</v>
      </c>
      <c r="C82" s="93" t="s">
        <v>3</v>
      </c>
      <c r="D82" s="93" t="s">
        <v>472</v>
      </c>
      <c r="E82" s="93" t="s">
        <v>473</v>
      </c>
      <c r="F82" s="93" t="s">
        <v>240</v>
      </c>
      <c r="G82" s="93"/>
      <c r="H82" s="93" t="s">
        <v>474</v>
      </c>
      <c r="I82" s="94" t="s">
        <v>121</v>
      </c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5" t="s">
        <v>241</v>
      </c>
      <c r="AL82" s="95"/>
      <c r="AM82" s="95"/>
      <c r="AN82" s="95"/>
      <c r="AO82" s="95"/>
    </row>
    <row r="83" spans="1:43">
      <c r="A83" s="93"/>
      <c r="B83" s="93"/>
      <c r="C83" s="93"/>
      <c r="D83" s="93"/>
      <c r="E83" s="93"/>
      <c r="F83" s="68" t="s">
        <v>477</v>
      </c>
      <c r="G83" s="68" t="s">
        <v>243</v>
      </c>
      <c r="H83" s="93"/>
      <c r="I83" s="46" t="s">
        <v>244</v>
      </c>
      <c r="J83" s="46" t="s">
        <v>245</v>
      </c>
      <c r="K83" s="46" t="s">
        <v>124</v>
      </c>
      <c r="L83" s="46" t="s">
        <v>246</v>
      </c>
      <c r="M83" s="46" t="s">
        <v>125</v>
      </c>
      <c r="N83" s="46" t="s">
        <v>247</v>
      </c>
      <c r="O83" s="46" t="s">
        <v>248</v>
      </c>
      <c r="P83" s="46" t="s">
        <v>249</v>
      </c>
      <c r="Q83" s="46" t="s">
        <v>250</v>
      </c>
      <c r="R83" s="46" t="s">
        <v>251</v>
      </c>
      <c r="S83" s="46" t="s">
        <v>8</v>
      </c>
      <c r="T83" s="46" t="s">
        <v>253</v>
      </c>
      <c r="U83" s="46" t="s">
        <v>126</v>
      </c>
      <c r="V83" s="46" t="s">
        <v>478</v>
      </c>
      <c r="W83" s="46" t="s">
        <v>127</v>
      </c>
      <c r="X83" s="46" t="s">
        <v>252</v>
      </c>
      <c r="Y83" s="46" t="s">
        <v>112</v>
      </c>
      <c r="Z83" s="46" t="s">
        <v>343</v>
      </c>
      <c r="AA83" s="53" t="s">
        <v>479</v>
      </c>
      <c r="AB83" s="46" t="s">
        <v>254</v>
      </c>
      <c r="AC83" s="46" t="s">
        <v>255</v>
      </c>
      <c r="AD83" s="46" t="s">
        <v>256</v>
      </c>
      <c r="AE83" s="46" t="s">
        <v>257</v>
      </c>
      <c r="AF83" s="46" t="s">
        <v>480</v>
      </c>
      <c r="AG83" s="46" t="s">
        <v>481</v>
      </c>
      <c r="AH83" s="47" t="s">
        <v>9</v>
      </c>
      <c r="AI83" s="46" t="s">
        <v>258</v>
      </c>
      <c r="AJ83" s="46" t="s">
        <v>259</v>
      </c>
      <c r="AK83" s="46" t="s">
        <v>260</v>
      </c>
      <c r="AL83" s="46" t="s">
        <v>261</v>
      </c>
      <c r="AM83" s="46" t="s">
        <v>262</v>
      </c>
      <c r="AN83" s="46" t="s">
        <v>263</v>
      </c>
      <c r="AO83" s="46" t="s">
        <v>264</v>
      </c>
    </row>
    <row r="84" spans="1:43">
      <c r="A84" s="88" t="s">
        <v>656</v>
      </c>
      <c r="B84" s="85" t="s">
        <v>344</v>
      </c>
      <c r="C84" s="15">
        <v>1942</v>
      </c>
      <c r="D84" s="15" t="s">
        <v>346</v>
      </c>
      <c r="E84" s="15" t="s">
        <v>346</v>
      </c>
      <c r="G84" s="15" t="s">
        <v>346</v>
      </c>
      <c r="H84" s="15" t="s">
        <v>347</v>
      </c>
      <c r="I84" s="26">
        <v>-0.02</v>
      </c>
      <c r="L84" s="39">
        <v>2.5000000000000001E-2</v>
      </c>
      <c r="M84" s="15"/>
      <c r="N84" s="39">
        <v>2.5000000000000001E-2</v>
      </c>
      <c r="O84" s="15">
        <v>3</v>
      </c>
      <c r="P84" s="15"/>
      <c r="Q84" s="15">
        <v>1</v>
      </c>
      <c r="T84" s="15"/>
      <c r="W84" s="15"/>
      <c r="AC84" s="26">
        <v>0.02</v>
      </c>
      <c r="AD84" s="15"/>
      <c r="AH84" s="25">
        <v>1</v>
      </c>
      <c r="AJ84" s="15">
        <v>0.1</v>
      </c>
    </row>
    <row r="85" spans="1:43">
      <c r="A85" s="89"/>
      <c r="B85" s="71"/>
      <c r="C85">
        <v>1944</v>
      </c>
      <c r="D85" t="s">
        <v>348</v>
      </c>
      <c r="E85" t="s">
        <v>348</v>
      </c>
      <c r="G85" t="s">
        <v>349</v>
      </c>
      <c r="H85" t="s">
        <v>350</v>
      </c>
      <c r="I85" s="27">
        <f>I84*2</f>
        <v>-0.04</v>
      </c>
      <c r="L85" s="27">
        <f>L84*2</f>
        <v>0.05</v>
      </c>
      <c r="N85" s="27">
        <f>N84*2</f>
        <v>0.05</v>
      </c>
      <c r="O85">
        <f>O84+2</f>
        <v>5</v>
      </c>
      <c r="Q85">
        <f>Q84*2</f>
        <v>2</v>
      </c>
      <c r="AC85" s="27">
        <f>AC84+2%</f>
        <v>0.04</v>
      </c>
      <c r="AD85">
        <f>AD84+0.1</f>
        <v>0.1</v>
      </c>
      <c r="AH85" s="24">
        <f>AH84*2</f>
        <v>2</v>
      </c>
      <c r="AJ85">
        <f>AJ84*4</f>
        <v>0.4</v>
      </c>
    </row>
    <row r="86" spans="1:43">
      <c r="A86" s="89"/>
      <c r="B86" s="71"/>
      <c r="C86" s="15">
        <v>1950</v>
      </c>
      <c r="D86" s="21" t="s">
        <v>352</v>
      </c>
      <c r="E86" s="51" t="s">
        <v>352</v>
      </c>
      <c r="G86" s="15" t="s">
        <v>353</v>
      </c>
      <c r="H86" s="21" t="s">
        <v>354</v>
      </c>
      <c r="I86" s="26">
        <v>-0.06</v>
      </c>
      <c r="L86" s="26">
        <v>0.1</v>
      </c>
      <c r="M86" s="15"/>
      <c r="N86" s="26">
        <v>0.1</v>
      </c>
      <c r="O86" s="15">
        <v>4</v>
      </c>
      <c r="P86" s="15"/>
      <c r="Q86" s="15">
        <v>4</v>
      </c>
      <c r="T86" s="26">
        <v>-0.05</v>
      </c>
      <c r="W86" s="15">
        <v>0.25</v>
      </c>
      <c r="AC86" s="26">
        <v>0.06</v>
      </c>
      <c r="AD86" s="15"/>
      <c r="AH86" s="25">
        <v>3</v>
      </c>
      <c r="AI86" s="15"/>
      <c r="AJ86" s="15">
        <v>0.6</v>
      </c>
      <c r="AK86" s="15"/>
      <c r="AL86" s="15"/>
      <c r="AM86" s="15"/>
      <c r="AN86" s="15"/>
    </row>
    <row r="87" spans="1:43">
      <c r="A87" s="89"/>
      <c r="B87" s="71"/>
      <c r="C87" s="1">
        <v>1995</v>
      </c>
      <c r="D87" s="19" t="s">
        <v>355</v>
      </c>
      <c r="E87" s="52" t="s">
        <v>355</v>
      </c>
      <c r="G87" t="s">
        <v>356</v>
      </c>
      <c r="H87" s="19" t="s">
        <v>357</v>
      </c>
      <c r="I87" s="27">
        <f>I86-10%</f>
        <v>-0.16</v>
      </c>
      <c r="L87" s="28">
        <f>L86+7.5%</f>
        <v>0.17499999999999999</v>
      </c>
      <c r="N87" s="28">
        <f>N86+7.5%</f>
        <v>0.17499999999999999</v>
      </c>
      <c r="O87">
        <f>O86+6</f>
        <v>10</v>
      </c>
      <c r="Q87">
        <f>Q86+6</f>
        <v>10</v>
      </c>
      <c r="T87" s="27">
        <v>0.1</v>
      </c>
      <c r="W87">
        <f>W86+0.25</f>
        <v>0.5</v>
      </c>
      <c r="AC87" s="27">
        <f>AC86+4%</f>
        <v>0.1</v>
      </c>
      <c r="AD87">
        <f>AD86+0.5</f>
        <v>0.5</v>
      </c>
      <c r="AH87" s="24">
        <f>AH86+3.5</f>
        <v>6.5</v>
      </c>
      <c r="AJ87">
        <f>AJ86+0.2</f>
        <v>0.8</v>
      </c>
      <c r="AN87">
        <v>1</v>
      </c>
    </row>
    <row r="88" spans="1:43">
      <c r="A88" s="89"/>
      <c r="B88" s="71"/>
      <c r="C88" s="15">
        <v>1960</v>
      </c>
      <c r="D88" s="29" t="s">
        <v>359</v>
      </c>
      <c r="E88" s="51" t="s">
        <v>359</v>
      </c>
      <c r="G88" s="15" t="s">
        <v>360</v>
      </c>
      <c r="H88" s="29" t="s">
        <v>361</v>
      </c>
      <c r="I88" s="26">
        <v>-0.2</v>
      </c>
      <c r="L88" s="26">
        <v>0.1</v>
      </c>
      <c r="M88" s="15"/>
      <c r="N88" s="26">
        <v>0.1</v>
      </c>
      <c r="O88" s="15">
        <v>10</v>
      </c>
      <c r="P88" s="15"/>
      <c r="Q88" s="15">
        <v>-5</v>
      </c>
      <c r="T88" s="26">
        <v>0.3</v>
      </c>
      <c r="W88" s="15">
        <v>1</v>
      </c>
      <c r="AC88" s="26">
        <v>0.08</v>
      </c>
      <c r="AD88" s="15">
        <v>0.2</v>
      </c>
      <c r="AH88" s="25">
        <v>4</v>
      </c>
      <c r="AJ88" s="15">
        <v>1.5</v>
      </c>
    </row>
    <row r="89" spans="1:43">
      <c r="A89" s="89"/>
      <c r="B89" s="71"/>
      <c r="C89">
        <v>1970</v>
      </c>
      <c r="D89" s="8" t="s">
        <v>362</v>
      </c>
      <c r="E89" s="52" t="s">
        <v>362</v>
      </c>
      <c r="G89" t="s">
        <v>363</v>
      </c>
      <c r="H89" s="8" t="s">
        <v>364</v>
      </c>
      <c r="I89" s="28">
        <f>I88+2.5%</f>
        <v>-0.17500000000000002</v>
      </c>
      <c r="L89" s="28">
        <f>L88-2.5%</f>
        <v>7.5000000000000011E-2</v>
      </c>
      <c r="N89" s="28">
        <f>N88-2.5%</f>
        <v>7.5000000000000011E-2</v>
      </c>
      <c r="O89">
        <f>O88+2</f>
        <v>12</v>
      </c>
      <c r="Q89">
        <f>Q88+2</f>
        <v>-3</v>
      </c>
      <c r="T89" s="27">
        <f>T88</f>
        <v>0.3</v>
      </c>
      <c r="W89">
        <f>W88</f>
        <v>1</v>
      </c>
      <c r="AC89" s="32">
        <f>AC88</f>
        <v>0.08</v>
      </c>
      <c r="AD89">
        <f>AD88+0.2</f>
        <v>0.4</v>
      </c>
      <c r="AH89" s="24">
        <f>AH88+0.65</f>
        <v>4.6500000000000004</v>
      </c>
      <c r="AJ89">
        <f>AJ88</f>
        <v>1.5</v>
      </c>
      <c r="AN89">
        <v>1</v>
      </c>
    </row>
    <row r="90" spans="1:43">
      <c r="A90" s="89"/>
      <c r="B90" s="71"/>
      <c r="C90">
        <v>1990</v>
      </c>
      <c r="D90" s="8" t="s">
        <v>365</v>
      </c>
      <c r="E90" s="52" t="s">
        <v>365</v>
      </c>
      <c r="G90" t="s">
        <v>366</v>
      </c>
      <c r="H90" s="8" t="s">
        <v>367</v>
      </c>
      <c r="I90" s="27">
        <f>I89+2.5%</f>
        <v>-0.15000000000000002</v>
      </c>
      <c r="L90" s="28">
        <f>L88+2.5%</f>
        <v>0.125</v>
      </c>
      <c r="N90" s="28">
        <f>N88+2.5%</f>
        <v>0.125</v>
      </c>
      <c r="O90">
        <f>O89+2</f>
        <v>14</v>
      </c>
      <c r="Q90">
        <f>Q89+2</f>
        <v>-1</v>
      </c>
      <c r="T90" s="27">
        <f>T89</f>
        <v>0.3</v>
      </c>
      <c r="W90">
        <f>W89</f>
        <v>1</v>
      </c>
      <c r="AC90" s="32">
        <f>AC89</f>
        <v>0.08</v>
      </c>
      <c r="AD90">
        <f>AD89+0.2</f>
        <v>0.60000000000000009</v>
      </c>
      <c r="AH90" s="24">
        <f t="shared" ref="AH90:AH91" si="13">AH89+0.65</f>
        <v>5.3000000000000007</v>
      </c>
      <c r="AJ90">
        <f>AJ89</f>
        <v>1.5</v>
      </c>
      <c r="AN90">
        <v>1</v>
      </c>
    </row>
    <row r="91" spans="1:43">
      <c r="A91" s="89"/>
      <c r="B91" s="71"/>
      <c r="C91">
        <v>2010</v>
      </c>
      <c r="D91" s="8" t="s">
        <v>368</v>
      </c>
      <c r="E91" s="52" t="s">
        <v>368</v>
      </c>
      <c r="G91" t="s">
        <v>369</v>
      </c>
      <c r="H91" s="8" t="s">
        <v>370</v>
      </c>
      <c r="I91" s="28">
        <f>I90+2.5%</f>
        <v>-0.12500000000000003</v>
      </c>
      <c r="L91" s="27">
        <f>L90+2.5%</f>
        <v>0.15</v>
      </c>
      <c r="N91" s="27">
        <f>N90+2.5%</f>
        <v>0.15</v>
      </c>
      <c r="O91">
        <f>O90+2</f>
        <v>16</v>
      </c>
      <c r="Q91">
        <f>Q90+2</f>
        <v>1</v>
      </c>
      <c r="T91" s="27">
        <f>T90</f>
        <v>0.3</v>
      </c>
      <c r="W91">
        <f>W90</f>
        <v>1</v>
      </c>
      <c r="AC91" s="32">
        <f>AC90</f>
        <v>0.08</v>
      </c>
      <c r="AD91">
        <f>AD90+0.2</f>
        <v>0.8</v>
      </c>
      <c r="AH91" s="24">
        <f t="shared" si="13"/>
        <v>5.9500000000000011</v>
      </c>
      <c r="AJ91">
        <f>AJ90</f>
        <v>1.5</v>
      </c>
      <c r="AN91">
        <v>1</v>
      </c>
    </row>
    <row r="92" spans="1:43">
      <c r="A92" s="89"/>
      <c r="B92" s="71"/>
      <c r="C92" s="15">
        <v>1965</v>
      </c>
      <c r="D92" s="31" t="s">
        <v>372</v>
      </c>
      <c r="E92" s="51" t="s">
        <v>372</v>
      </c>
      <c r="G92" s="15" t="s">
        <v>373</v>
      </c>
      <c r="H92" s="31" t="s">
        <v>374</v>
      </c>
      <c r="I92" s="26">
        <v>-0.15</v>
      </c>
      <c r="L92" s="39">
        <v>0.125</v>
      </c>
      <c r="M92" s="15"/>
      <c r="N92" s="39">
        <v>0.125</v>
      </c>
      <c r="O92" s="15">
        <v>11</v>
      </c>
      <c r="P92" s="15"/>
      <c r="Q92" s="15">
        <v>-4</v>
      </c>
      <c r="T92" s="26">
        <v>0.15</v>
      </c>
      <c r="W92" s="15">
        <v>0.5</v>
      </c>
      <c r="AC92" s="26">
        <v>0.12</v>
      </c>
      <c r="AD92" s="15">
        <v>0.35</v>
      </c>
      <c r="AH92" s="25">
        <v>4.5</v>
      </c>
      <c r="AI92" s="15"/>
      <c r="AJ92" s="15">
        <v>1.2</v>
      </c>
      <c r="AK92" s="15"/>
      <c r="AN92">
        <v>1</v>
      </c>
    </row>
    <row r="93" spans="1:43">
      <c r="A93" s="89"/>
      <c r="B93" s="71"/>
      <c r="C93">
        <v>1985</v>
      </c>
      <c r="D93" s="20" t="s">
        <v>375</v>
      </c>
      <c r="E93" s="52" t="s">
        <v>375</v>
      </c>
      <c r="G93" t="s">
        <v>376</v>
      </c>
      <c r="H93" s="35" t="s">
        <v>377</v>
      </c>
      <c r="I93" s="28">
        <f>I92+2.5%</f>
        <v>-0.125</v>
      </c>
      <c r="L93" s="27">
        <f>L92+2.5%</f>
        <v>0.15</v>
      </c>
      <c r="N93" s="27">
        <f>N92+2.5%</f>
        <v>0.15</v>
      </c>
      <c r="O93">
        <f>O92+3</f>
        <v>14</v>
      </c>
      <c r="Q93">
        <f>Q92+3</f>
        <v>-1</v>
      </c>
      <c r="T93" s="27">
        <f>T92</f>
        <v>0.15</v>
      </c>
      <c r="W93">
        <f>W92</f>
        <v>0.5</v>
      </c>
      <c r="AC93" s="32">
        <f>AC92</f>
        <v>0.12</v>
      </c>
      <c r="AD93">
        <f>AD92+0.3</f>
        <v>0.64999999999999991</v>
      </c>
      <c r="AH93" s="24">
        <f>AH92+0.65</f>
        <v>5.15</v>
      </c>
      <c r="AJ93">
        <f>AJ92</f>
        <v>1.2</v>
      </c>
      <c r="AN93">
        <v>1</v>
      </c>
    </row>
    <row r="94" spans="1:43">
      <c r="A94" s="89"/>
      <c r="B94" s="71"/>
      <c r="C94">
        <v>2005</v>
      </c>
      <c r="D94" s="20" t="s">
        <v>378</v>
      </c>
      <c r="E94" s="52" t="s">
        <v>378</v>
      </c>
      <c r="G94" t="s">
        <v>379</v>
      </c>
      <c r="H94" s="35" t="s">
        <v>380</v>
      </c>
      <c r="I94" s="27">
        <f>I93+2.5%</f>
        <v>-0.1</v>
      </c>
      <c r="L94" s="28">
        <f>L93+2.5%</f>
        <v>0.17499999999999999</v>
      </c>
      <c r="N94" s="28">
        <f>N93+2.5%</f>
        <v>0.17499999999999999</v>
      </c>
      <c r="O94">
        <f>O93+3</f>
        <v>17</v>
      </c>
      <c r="Q94">
        <f>Q93+3</f>
        <v>2</v>
      </c>
      <c r="T94" s="27">
        <f>T93</f>
        <v>0.15</v>
      </c>
      <c r="W94">
        <f>W93</f>
        <v>0.5</v>
      </c>
      <c r="AC94" s="32">
        <f>AC93</f>
        <v>0.12</v>
      </c>
      <c r="AD94">
        <f>AD93+0.3</f>
        <v>0.95</v>
      </c>
      <c r="AH94" s="24">
        <f>AH93+0.65</f>
        <v>5.8000000000000007</v>
      </c>
      <c r="AJ94">
        <f>AJ93</f>
        <v>1.2</v>
      </c>
      <c r="AN94">
        <v>1</v>
      </c>
    </row>
    <row r="95" spans="1:43">
      <c r="A95" s="89"/>
    </row>
    <row r="96" spans="1:43">
      <c r="A96" s="89"/>
      <c r="B96" s="71" t="s">
        <v>657</v>
      </c>
      <c r="C96" s="15">
        <v>1965</v>
      </c>
      <c r="D96" s="15" t="s">
        <v>658</v>
      </c>
      <c r="E96" s="51" t="s">
        <v>372</v>
      </c>
      <c r="F96" s="15"/>
      <c r="G96" s="15" t="s">
        <v>659</v>
      </c>
      <c r="H96" s="15" t="s">
        <v>660</v>
      </c>
      <c r="I96" s="26">
        <v>-0.1</v>
      </c>
      <c r="J96" s="15"/>
      <c r="K96" s="15"/>
      <c r="L96" s="39">
        <v>7.4999999999999997E-2</v>
      </c>
      <c r="M96" s="15"/>
      <c r="N96" s="39">
        <v>7.4999999999999997E-2</v>
      </c>
      <c r="O96" s="15">
        <v>6</v>
      </c>
      <c r="P96" s="15"/>
      <c r="Q96" s="15">
        <v>3</v>
      </c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26">
        <v>0.1</v>
      </c>
      <c r="AD96" s="15">
        <v>0.15</v>
      </c>
      <c r="AE96" s="15"/>
      <c r="AF96" s="15"/>
      <c r="AG96" s="15"/>
      <c r="AH96" s="25">
        <v>2.5</v>
      </c>
      <c r="AI96" s="15"/>
      <c r="AJ96" s="15">
        <v>0.9</v>
      </c>
      <c r="AK96" s="15"/>
      <c r="AL96" s="15"/>
      <c r="AM96" s="15"/>
      <c r="AO96" s="15"/>
      <c r="AP96" s="15"/>
      <c r="AQ96" s="15"/>
    </row>
    <row r="97" spans="1:44">
      <c r="A97" s="89"/>
      <c r="B97" s="71"/>
      <c r="C97">
        <v>1985</v>
      </c>
      <c r="D97" t="s">
        <v>661</v>
      </c>
      <c r="E97" s="52" t="s">
        <v>375</v>
      </c>
      <c r="G97" t="s">
        <v>662</v>
      </c>
      <c r="H97" t="s">
        <v>663</v>
      </c>
      <c r="I97" s="28">
        <f>I96+2.5%</f>
        <v>-7.5000000000000011E-2</v>
      </c>
      <c r="L97" s="27">
        <f>L96+2.5%</f>
        <v>0.1</v>
      </c>
      <c r="N97" s="27">
        <f>N96+2.5%</f>
        <v>0.1</v>
      </c>
      <c r="O97">
        <f>O96+3</f>
        <v>9</v>
      </c>
      <c r="Q97">
        <f>Q96+1.5</f>
        <v>4.5</v>
      </c>
      <c r="AC97" s="27">
        <f>AC96</f>
        <v>0.1</v>
      </c>
      <c r="AD97">
        <f>AD96+0.25</f>
        <v>0.4</v>
      </c>
      <c r="AH97" s="24">
        <f>AH96+1</f>
        <v>3.5</v>
      </c>
      <c r="AJ97">
        <f>AJ96</f>
        <v>0.9</v>
      </c>
      <c r="AN97">
        <v>1</v>
      </c>
    </row>
    <row r="98" spans="1:44">
      <c r="A98" s="89"/>
      <c r="B98" s="71"/>
      <c r="C98">
        <v>2005</v>
      </c>
      <c r="D98" t="s">
        <v>664</v>
      </c>
      <c r="E98" s="52" t="s">
        <v>378</v>
      </c>
      <c r="G98" t="s">
        <v>665</v>
      </c>
      <c r="H98" t="s">
        <v>666</v>
      </c>
      <c r="I98" s="27">
        <f>I97+2.5%</f>
        <v>-5.000000000000001E-2</v>
      </c>
      <c r="L98" s="28">
        <f>L97+2.5%</f>
        <v>0.125</v>
      </c>
      <c r="N98" s="28">
        <f>N97+2.5%</f>
        <v>0.125</v>
      </c>
      <c r="O98">
        <f>O97+3</f>
        <v>12</v>
      </c>
      <c r="Q98">
        <f>Q97+1.5</f>
        <v>6</v>
      </c>
      <c r="AC98" s="27">
        <f>AC97</f>
        <v>0.1</v>
      </c>
      <c r="AD98">
        <f>AD97+0.25</f>
        <v>0.65</v>
      </c>
      <c r="AH98" s="24">
        <f>AH97+1</f>
        <v>4.5</v>
      </c>
      <c r="AJ98">
        <f>AJ97</f>
        <v>0.9</v>
      </c>
      <c r="AN98">
        <v>1</v>
      </c>
    </row>
    <row r="99" spans="1:44">
      <c r="A99" s="89"/>
    </row>
    <row r="100" spans="1:44">
      <c r="A100" s="89"/>
      <c r="B100" s="71" t="s">
        <v>381</v>
      </c>
      <c r="C100" s="15">
        <v>1939</v>
      </c>
      <c r="D100" s="15" t="s">
        <v>382</v>
      </c>
      <c r="E100" s="15" t="s">
        <v>525</v>
      </c>
      <c r="F100" s="15"/>
      <c r="G100" s="15" t="s">
        <v>383</v>
      </c>
      <c r="H100" s="15" t="s">
        <v>384</v>
      </c>
      <c r="I100" s="15"/>
      <c r="J100" s="15"/>
      <c r="K100" s="15"/>
      <c r="L100" s="15"/>
      <c r="M100" s="15"/>
      <c r="N100" s="15"/>
      <c r="O100" s="51">
        <v>1</v>
      </c>
      <c r="P100" s="51"/>
      <c r="Q100" s="54">
        <v>0.5</v>
      </c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>
        <v>0</v>
      </c>
      <c r="AE100" s="15"/>
      <c r="AF100" s="15"/>
      <c r="AG100" s="15"/>
      <c r="AH100" s="25">
        <v>0</v>
      </c>
      <c r="AI100" s="15"/>
      <c r="AJ100" s="15">
        <v>0.1</v>
      </c>
      <c r="AK100" s="15"/>
      <c r="AL100" s="15"/>
      <c r="AM100" s="15"/>
      <c r="AN100" s="15"/>
      <c r="AO100" s="15"/>
    </row>
    <row r="101" spans="1:44">
      <c r="A101" s="89"/>
      <c r="B101" s="71"/>
      <c r="C101">
        <v>1942</v>
      </c>
      <c r="D101" t="s">
        <v>385</v>
      </c>
      <c r="E101" t="s">
        <v>385</v>
      </c>
      <c r="G101" t="s">
        <v>386</v>
      </c>
      <c r="H101" t="s">
        <v>387</v>
      </c>
      <c r="I101" s="27">
        <f>I100-5%</f>
        <v>-0.05</v>
      </c>
      <c r="O101" s="52">
        <f>O100+4</f>
        <v>5</v>
      </c>
      <c r="P101" s="27">
        <v>0.05</v>
      </c>
      <c r="Q101" s="52">
        <f>Q100</f>
        <v>0.5</v>
      </c>
      <c r="AD101">
        <f>AD100+0.1</f>
        <v>0.1</v>
      </c>
      <c r="AH101" s="24">
        <f>AH100+1.2</f>
        <v>1.2</v>
      </c>
      <c r="AJ101">
        <f>AJ100+0.05</f>
        <v>0.15000000000000002</v>
      </c>
    </row>
    <row r="102" spans="1:44">
      <c r="A102" s="89"/>
      <c r="B102" s="71"/>
      <c r="C102">
        <v>1955</v>
      </c>
      <c r="D102" t="s">
        <v>388</v>
      </c>
      <c r="E102" t="s">
        <v>388</v>
      </c>
      <c r="G102" t="s">
        <v>389</v>
      </c>
      <c r="H102" t="s">
        <v>390</v>
      </c>
      <c r="I102" s="27">
        <f>I100-5%</f>
        <v>-0.05</v>
      </c>
      <c r="O102" s="52">
        <f>O101+4</f>
        <v>9</v>
      </c>
      <c r="P102" s="27">
        <f>P101+5%</f>
        <v>0.1</v>
      </c>
      <c r="Q102" s="52">
        <f>Q101+0.5</f>
        <v>1</v>
      </c>
      <c r="AD102">
        <f>AD101+0.1</f>
        <v>0.2</v>
      </c>
      <c r="AH102" s="24">
        <f t="shared" ref="AH102:AH105" si="14">AH101+1.2</f>
        <v>2.4</v>
      </c>
      <c r="AJ102">
        <f>AJ101+0.05</f>
        <v>0.2</v>
      </c>
    </row>
    <row r="103" spans="1:44">
      <c r="A103" s="89"/>
      <c r="B103" s="71"/>
      <c r="C103">
        <v>1970</v>
      </c>
      <c r="D103" t="s">
        <v>391</v>
      </c>
      <c r="E103" t="s">
        <v>391</v>
      </c>
      <c r="G103" t="s">
        <v>392</v>
      </c>
      <c r="H103" t="s">
        <v>393</v>
      </c>
      <c r="I103" s="27">
        <f>I100-4%</f>
        <v>-0.04</v>
      </c>
      <c r="O103" s="52">
        <f>O102+4</f>
        <v>13</v>
      </c>
      <c r="P103" s="27">
        <f>P102+5%</f>
        <v>0.15000000000000002</v>
      </c>
      <c r="Q103" s="52">
        <f>Q102+1.5</f>
        <v>2.5</v>
      </c>
      <c r="R103" s="27">
        <v>0.05</v>
      </c>
      <c r="AD103">
        <f>AD102+0.1</f>
        <v>0.30000000000000004</v>
      </c>
      <c r="AH103" s="24">
        <f t="shared" si="14"/>
        <v>3.5999999999999996</v>
      </c>
      <c r="AJ103">
        <f>AJ102+0.05</f>
        <v>0.25</v>
      </c>
      <c r="AN103">
        <v>1</v>
      </c>
    </row>
    <row r="104" spans="1:44">
      <c r="A104" s="89"/>
      <c r="B104" s="71"/>
      <c r="C104">
        <v>1985</v>
      </c>
      <c r="D104" t="s">
        <v>394</v>
      </c>
      <c r="E104" t="s">
        <v>394</v>
      </c>
      <c r="G104" t="s">
        <v>395</v>
      </c>
      <c r="H104" t="s">
        <v>396</v>
      </c>
      <c r="I104" s="27">
        <f>I100-3%</f>
        <v>-0.03</v>
      </c>
      <c r="O104" s="52">
        <f>O103+4</f>
        <v>17</v>
      </c>
      <c r="P104" s="27">
        <f t="shared" ref="P104:P105" si="15">P103+5%</f>
        <v>0.2</v>
      </c>
      <c r="Q104" s="52">
        <f>Q103+0.5</f>
        <v>3</v>
      </c>
      <c r="R104" s="27">
        <f>R103+5%</f>
        <v>0.1</v>
      </c>
      <c r="AD104">
        <f>AD103+0.1</f>
        <v>0.4</v>
      </c>
      <c r="AH104" s="24">
        <f t="shared" si="14"/>
        <v>4.8</v>
      </c>
      <c r="AJ104">
        <f>AJ103+0.05</f>
        <v>0.3</v>
      </c>
      <c r="AN104">
        <v>1</v>
      </c>
    </row>
    <row r="105" spans="1:44">
      <c r="A105" s="89"/>
      <c r="B105" s="71"/>
      <c r="C105">
        <v>2005</v>
      </c>
      <c r="D105" t="s">
        <v>397</v>
      </c>
      <c r="E105" t="s">
        <v>397</v>
      </c>
      <c r="G105" t="s">
        <v>398</v>
      </c>
      <c r="H105" t="s">
        <v>399</v>
      </c>
      <c r="I105" s="27">
        <f>I100-2%</f>
        <v>-0.02</v>
      </c>
      <c r="O105" s="52">
        <f>O104+4</f>
        <v>21</v>
      </c>
      <c r="P105" s="27">
        <f t="shared" si="15"/>
        <v>0.25</v>
      </c>
      <c r="Q105" s="52">
        <f>Q104+0.5</f>
        <v>3.5</v>
      </c>
      <c r="R105" s="27">
        <f>R104+5%</f>
        <v>0.15000000000000002</v>
      </c>
      <c r="AD105">
        <f>AD104+0.1</f>
        <v>0.5</v>
      </c>
      <c r="AH105" s="24">
        <f t="shared" si="14"/>
        <v>6</v>
      </c>
      <c r="AJ105">
        <f>AJ104+0.05</f>
        <v>0.35</v>
      </c>
      <c r="AN105">
        <v>1</v>
      </c>
    </row>
    <row r="106" spans="1:44">
      <c r="A106" s="89"/>
    </row>
    <row r="107" spans="1:44">
      <c r="A107" s="89"/>
      <c r="B107" s="71" t="s">
        <v>667</v>
      </c>
      <c r="C107" s="15">
        <v>1939</v>
      </c>
      <c r="D107" s="15" t="s">
        <v>668</v>
      </c>
      <c r="E107" s="15" t="s">
        <v>525</v>
      </c>
      <c r="G107" s="15" t="s">
        <v>669</v>
      </c>
      <c r="H107" s="15" t="s">
        <v>670</v>
      </c>
      <c r="O107" s="51">
        <v>1</v>
      </c>
      <c r="Q107" s="54">
        <v>0.5</v>
      </c>
      <c r="AD107" s="15">
        <v>0</v>
      </c>
      <c r="AH107" s="25">
        <v>0.5</v>
      </c>
      <c r="AJ107" s="15">
        <v>0.1</v>
      </c>
      <c r="AP107" s="15"/>
      <c r="AQ107" s="15"/>
      <c r="AR107" s="15"/>
    </row>
    <row r="108" spans="1:44">
      <c r="A108" s="89"/>
      <c r="B108" s="71"/>
      <c r="C108">
        <v>1955</v>
      </c>
      <c r="D108" t="s">
        <v>671</v>
      </c>
      <c r="E108" t="s">
        <v>388</v>
      </c>
      <c r="G108" t="s">
        <v>672</v>
      </c>
      <c r="H108" t="s">
        <v>673</v>
      </c>
      <c r="I108" s="27">
        <f>I106-5%</f>
        <v>-0.05</v>
      </c>
      <c r="O108" s="52">
        <f>O107+8</f>
        <v>9</v>
      </c>
      <c r="P108" s="27">
        <f>P107+10%</f>
        <v>0.1</v>
      </c>
      <c r="Q108" s="52">
        <f>Q107+0.5</f>
        <v>1</v>
      </c>
      <c r="AD108">
        <f>AD107+0.2</f>
        <v>0.2</v>
      </c>
      <c r="AG108" s="27">
        <v>0.2</v>
      </c>
      <c r="AH108" s="24">
        <f>AH107*6</f>
        <v>3</v>
      </c>
      <c r="AJ108">
        <f>AJ107+0.1</f>
        <v>0.2</v>
      </c>
    </row>
    <row r="109" spans="1:44">
      <c r="A109" s="89"/>
      <c r="B109" s="71"/>
      <c r="C109">
        <v>1970</v>
      </c>
      <c r="D109" t="s">
        <v>674</v>
      </c>
      <c r="E109" t="s">
        <v>391</v>
      </c>
      <c r="G109" t="s">
        <v>675</v>
      </c>
      <c r="H109" t="s">
        <v>676</v>
      </c>
      <c r="I109" s="27">
        <f>I106-4%</f>
        <v>-0.04</v>
      </c>
      <c r="O109" s="52">
        <f>O108+4</f>
        <v>13</v>
      </c>
      <c r="P109" s="27">
        <f>P108+5%</f>
        <v>0.15000000000000002</v>
      </c>
      <c r="Q109" s="52">
        <f>Q108+1.5</f>
        <v>2.5</v>
      </c>
      <c r="R109" s="27">
        <v>0.05</v>
      </c>
      <c r="AD109">
        <f>AD108+0.1</f>
        <v>0.30000000000000004</v>
      </c>
      <c r="AG109" s="27">
        <f>AG108+5%</f>
        <v>0.25</v>
      </c>
      <c r="AH109" s="24">
        <f>AH108+1.2</f>
        <v>4.2</v>
      </c>
      <c r="AJ109">
        <f>AJ108+0.05</f>
        <v>0.25</v>
      </c>
      <c r="AN109">
        <v>1</v>
      </c>
    </row>
    <row r="110" spans="1:44">
      <c r="A110" s="89"/>
      <c r="B110" s="71"/>
      <c r="C110">
        <v>1985</v>
      </c>
      <c r="D110" t="s">
        <v>677</v>
      </c>
      <c r="E110" t="s">
        <v>394</v>
      </c>
      <c r="G110" t="s">
        <v>678</v>
      </c>
      <c r="H110" t="s">
        <v>679</v>
      </c>
      <c r="I110" s="27">
        <f>I106-3%</f>
        <v>-0.03</v>
      </c>
      <c r="O110" s="52">
        <f>O109+4</f>
        <v>17</v>
      </c>
      <c r="P110" s="27">
        <f t="shared" ref="P110:P111" si="16">P109+5%</f>
        <v>0.2</v>
      </c>
      <c r="Q110" s="52">
        <f>Q109+0.5</f>
        <v>3</v>
      </c>
      <c r="R110" s="27">
        <f>R109+5%</f>
        <v>0.1</v>
      </c>
      <c r="AD110">
        <f>AD109+0.1</f>
        <v>0.4</v>
      </c>
      <c r="AG110" s="27">
        <f t="shared" ref="AG110:AG111" si="17">AG109+5%</f>
        <v>0.3</v>
      </c>
      <c r="AH110" s="24">
        <f t="shared" ref="AH110:AH111" si="18">AH109+1.2</f>
        <v>5.4</v>
      </c>
      <c r="AJ110">
        <f>AJ109+0.05</f>
        <v>0.3</v>
      </c>
      <c r="AN110">
        <v>1</v>
      </c>
    </row>
    <row r="111" spans="1:44">
      <c r="A111" s="89"/>
      <c r="B111" s="71"/>
      <c r="C111">
        <v>2005</v>
      </c>
      <c r="D111" t="s">
        <v>680</v>
      </c>
      <c r="E111" t="s">
        <v>397</v>
      </c>
      <c r="G111" t="s">
        <v>681</v>
      </c>
      <c r="H111" t="s">
        <v>682</v>
      </c>
      <c r="I111" s="27">
        <f>I106-2%</f>
        <v>-0.02</v>
      </c>
      <c r="O111" s="52">
        <f>O110+4</f>
        <v>21</v>
      </c>
      <c r="P111" s="27">
        <f t="shared" si="16"/>
        <v>0.25</v>
      </c>
      <c r="Q111" s="52">
        <f>Q110+0.5</f>
        <v>3.5</v>
      </c>
      <c r="R111" s="27">
        <f>R110+5%</f>
        <v>0.15000000000000002</v>
      </c>
      <c r="AD111">
        <f>AD110+0.1</f>
        <v>0.5</v>
      </c>
      <c r="AG111" s="27">
        <f t="shared" si="17"/>
        <v>0.35</v>
      </c>
      <c r="AH111" s="24">
        <f t="shared" si="18"/>
        <v>6.6000000000000005</v>
      </c>
      <c r="AJ111">
        <f>AJ110+0.05</f>
        <v>0.35</v>
      </c>
      <c r="AN111">
        <v>1</v>
      </c>
    </row>
    <row r="112" spans="1:44">
      <c r="A112" s="89"/>
      <c r="B112" s="4"/>
    </row>
    <row r="113" spans="1:41">
      <c r="A113" s="89"/>
      <c r="B113" s="71" t="s">
        <v>422</v>
      </c>
      <c r="C113" s="15">
        <v>1939</v>
      </c>
      <c r="D113" s="15" t="s">
        <v>423</v>
      </c>
      <c r="E113" s="15" t="s">
        <v>525</v>
      </c>
      <c r="G113" s="15" t="s">
        <v>424</v>
      </c>
      <c r="H113" s="15" t="s">
        <v>425</v>
      </c>
      <c r="I113" s="15" t="inlineStr">
        <is>
          <t>-1%</t>
        </is>
      </c>
      <c r="L113" s="15" t="inlineStr">
        <is>
          <t>5%</t>
        </is>
      </c>
      <c r="M113" s="15"/>
      <c r="N113" s="15" t="inlineStr">
        <is>
          <t>5%</t>
        </is>
      </c>
      <c r="O113" s="15"/>
      <c r="P113" s="15"/>
      <c r="Q113" s="15"/>
      <c r="R113" s="15"/>
      <c r="T113" s="15" t="inlineStr">
        <is>
          <t>-5%</t>
        </is>
      </c>
      <c r="AD113" s="15"/>
      <c r="AH113" s="25" t="inlineStr">
        <is>
          <t>0.5</t>
        </is>
      </c>
      <c r="AI113" s="15"/>
      <c r="AJ113" s="15" t="inlineStr">
        <is>
          <t>0.15</t>
        </is>
      </c>
    </row>
    <row r="114" spans="1:41">
      <c r="A114" s="89"/>
      <c r="B114" s="71"/>
      <c r="C114">
        <v>1944</v>
      </c>
      <c r="D114" t="s">
        <v>426</v>
      </c>
      <c r="E114" t="s">
        <v>426</v>
      </c>
      <c r="G114" t="s">
        <v>427</v>
      </c>
      <c r="H114" t="s">
        <v>428</v>
      </c>
      <c r="I114" s="27">
        <f>I113-2%</f>
        <v>-0.02</v>
      </c>
      <c r="L114" s="27">
        <f>L113+10%</f>
        <v>0.1</v>
      </c>
      <c r="N114" s="27">
        <f>N113+10%</f>
        <v>0.1</v>
      </c>
      <c r="R114" s="27">
        <f>R113+5%</f>
        <v>0.05</v>
      </c>
      <c r="T114" s="28">
        <v>-2.5000000000000001E-2</v>
      </c>
      <c r="AH114" s="24">
        <f>AH113+1</f>
        <v>1</v>
      </c>
      <c r="AJ114">
        <f>AJ113+0.1</f>
        <v>0.25</v>
      </c>
    </row>
    <row r="115" spans="1:41">
      <c r="A115" s="89"/>
      <c r="B115" s="71"/>
      <c r="C115">
        <v>1955</v>
      </c>
      <c r="D115" t="s">
        <v>429</v>
      </c>
      <c r="E115" t="s">
        <v>429</v>
      </c>
      <c r="G115" t="s">
        <v>430</v>
      </c>
      <c r="H115" t="s">
        <v>431</v>
      </c>
      <c r="I115" s="27">
        <f>I113-2%</f>
        <v>-0.02</v>
      </c>
      <c r="L115" s="28">
        <f>L113+2.5%</f>
        <v>2.5000000000000001E-2</v>
      </c>
      <c r="M115" s="28"/>
      <c r="N115" s="28">
        <f>N113+2.5%</f>
        <v>2.5000000000000001E-2</v>
      </c>
      <c r="O115" s="27"/>
      <c r="P115" s="27">
        <f>P113+5%</f>
        <v>0.05</v>
      </c>
      <c r="AD115">
        <f>AD113+0.1</f>
        <v>0.1</v>
      </c>
      <c r="AH115" s="24">
        <f>AH113+1</f>
        <v>1</v>
      </c>
      <c r="AJ115">
        <f>AJ114+0.1</f>
        <v>0.35</v>
      </c>
    </row>
    <row r="116" spans="1:41">
      <c r="A116" s="89"/>
      <c r="B116" s="71"/>
      <c r="C116">
        <v>1965</v>
      </c>
      <c r="D116" t="s">
        <v>432</v>
      </c>
      <c r="E116" t="s">
        <v>432</v>
      </c>
      <c r="G116" t="s">
        <v>433</v>
      </c>
      <c r="H116" t="s">
        <v>434</v>
      </c>
      <c r="I116" s="27">
        <f>I113-3%</f>
        <v>-0.03</v>
      </c>
      <c r="L116" s="28">
        <f>L114+2.5%</f>
        <v>0.125</v>
      </c>
      <c r="N116" s="28">
        <f>N114+2.5%</f>
        <v>0.125</v>
      </c>
      <c r="P116" s="28">
        <f>P115+2.5%</f>
        <v>7.5000000000000011E-2</v>
      </c>
      <c r="R116" s="28">
        <f>R114+2.5%</f>
        <v>7.5000000000000011E-2</v>
      </c>
      <c r="T116" s="28">
        <f>T114</f>
        <v>-2.5000000000000001E-2</v>
      </c>
      <c r="AD116">
        <f>AD115+0.05</f>
        <v>0.15000000000000002</v>
      </c>
      <c r="AH116" s="24">
        <f>AH113+2</f>
        <v>2</v>
      </c>
      <c r="AJ116">
        <f>AJ115+0.1</f>
        <v>0.44999999999999996</v>
      </c>
    </row>
    <row r="117" spans="1:41">
      <c r="A117" s="89"/>
      <c r="B117" s="71"/>
      <c r="C117">
        <v>1970</v>
      </c>
      <c r="D117" t="s">
        <v>435</v>
      </c>
      <c r="E117" t="s">
        <v>435</v>
      </c>
      <c r="G117" t="s">
        <v>436</v>
      </c>
      <c r="H117" t="s">
        <v>437</v>
      </c>
      <c r="I117" s="27">
        <f>I113-4%</f>
        <v>-0.04</v>
      </c>
      <c r="L117" s="28">
        <f>L116+5%</f>
        <v>0.17499999999999999</v>
      </c>
      <c r="N117" s="28">
        <f>N116+5%</f>
        <v>0.17499999999999999</v>
      </c>
      <c r="P117" s="27">
        <f>P116+2.5%</f>
        <v>0.1</v>
      </c>
      <c r="R117" s="27">
        <f>R116+2.5%</f>
        <v>0.1</v>
      </c>
      <c r="AD117">
        <f>AD116+0.05</f>
        <v>0.2</v>
      </c>
      <c r="AH117" s="24">
        <f>AH113+3.5</f>
        <v>3.5</v>
      </c>
      <c r="AJ117">
        <f>AJ116+0.1</f>
        <v>0.54999999999999993</v>
      </c>
      <c r="AN117">
        <v>1</v>
      </c>
    </row>
    <row r="118" spans="1:41">
      <c r="A118" s="89"/>
      <c r="B118" s="71"/>
      <c r="C118">
        <v>1980</v>
      </c>
      <c r="D118" t="s">
        <v>438</v>
      </c>
      <c r="E118" t="s">
        <v>438</v>
      </c>
      <c r="G118" t="s">
        <v>439</v>
      </c>
      <c r="H118" t="s">
        <v>440</v>
      </c>
      <c r="I118" s="27">
        <f>I117</f>
        <v>-0.04</v>
      </c>
      <c r="L118" s="27">
        <f>L117+2.5%</f>
        <v>0.19999999999999998</v>
      </c>
      <c r="N118" s="27">
        <f>N117+2.5%</f>
        <v>0.19999999999999998</v>
      </c>
      <c r="P118" s="28">
        <f>P117+2.5%</f>
        <v>0.125</v>
      </c>
      <c r="R118" s="28">
        <f>R117+2.5%</f>
        <v>0.125</v>
      </c>
      <c r="AD118">
        <f>AD117+0.05</f>
        <v>0.25</v>
      </c>
      <c r="AH118" s="24">
        <f>AH117+0.75</f>
        <v>4.25</v>
      </c>
      <c r="AJ118">
        <f>AJ117+0.1</f>
        <v>0.64999999999999991</v>
      </c>
      <c r="AN118">
        <v>1</v>
      </c>
    </row>
    <row r="119" spans="1:41">
      <c r="A119" s="89"/>
      <c r="B119" s="71"/>
      <c r="C119">
        <v>1990</v>
      </c>
      <c r="D119" t="s">
        <v>441</v>
      </c>
      <c r="E119" t="s">
        <v>441</v>
      </c>
      <c r="G119" t="s">
        <v>442</v>
      </c>
      <c r="H119" t="s">
        <v>443</v>
      </c>
      <c r="I119" s="27">
        <f>I118</f>
        <v>-0.04</v>
      </c>
      <c r="L119" s="28">
        <f>L118+2.5%</f>
        <v>0.22499999999999998</v>
      </c>
      <c r="N119" s="28">
        <f>N118+2.5%</f>
        <v>0.22499999999999998</v>
      </c>
      <c r="P119" s="27">
        <f>P118+2.5%</f>
        <v>0.15</v>
      </c>
      <c r="R119" s="27">
        <f>R118+2.5%</f>
        <v>0.15</v>
      </c>
      <c r="AD119">
        <f>AD118+0.05</f>
        <v>0.3</v>
      </c>
      <c r="AH119" s="24">
        <f t="shared" ref="AH119:AH120" si="19">AH118+0.75</f>
        <v>5</v>
      </c>
      <c r="AJ119">
        <f>AJ118+0.1</f>
        <v>0.74999999999999989</v>
      </c>
      <c r="AN119">
        <v>1</v>
      </c>
    </row>
    <row r="120" spans="1:41">
      <c r="A120" s="89"/>
      <c r="B120" s="71"/>
      <c r="C120">
        <v>2010</v>
      </c>
      <c r="D120" t="s">
        <v>438</v>
      </c>
      <c r="E120" t="s">
        <v>438</v>
      </c>
      <c r="G120" t="s">
        <v>444</v>
      </c>
      <c r="H120" t="s">
        <v>445</v>
      </c>
      <c r="I120" s="27">
        <f>I119</f>
        <v>-0.04</v>
      </c>
      <c r="L120" s="27">
        <f>L119+2.5%</f>
        <v>0.24999999999999997</v>
      </c>
      <c r="N120" s="27">
        <f>N119+2.5%</f>
        <v>0.24999999999999997</v>
      </c>
      <c r="P120" s="28">
        <f>P119+2.5%</f>
        <v>0.17499999999999999</v>
      </c>
      <c r="R120" s="28">
        <f>R119+2.5%</f>
        <v>0.17499999999999999</v>
      </c>
      <c r="AD120">
        <f>AD119+0.05</f>
        <v>0.35</v>
      </c>
      <c r="AH120" s="24">
        <f t="shared" si="19"/>
        <v>5.75</v>
      </c>
      <c r="AJ120">
        <f>AJ119+0.1</f>
        <v>0.84999999999999987</v>
      </c>
      <c r="AN120">
        <v>1</v>
      </c>
    </row>
    <row r="121" spans="1:41">
      <c r="A121" s="89"/>
    </row>
    <row r="122" spans="1:41">
      <c r="A122" s="89"/>
      <c r="B122" s="71" t="s">
        <v>446</v>
      </c>
      <c r="C122" s="15">
        <v>1965</v>
      </c>
      <c r="D122" s="15" t="s">
        <v>447</v>
      </c>
      <c r="E122" s="15" t="s">
        <v>447</v>
      </c>
      <c r="G122" s="15" t="s">
        <v>448</v>
      </c>
      <c r="H122" s="15" t="s">
        <v>449</v>
      </c>
      <c r="O122" s="15">
        <v>1.5</v>
      </c>
      <c r="P122" s="26">
        <v>0.03</v>
      </c>
      <c r="Q122" s="15">
        <v>1</v>
      </c>
      <c r="R122" s="26">
        <v>0.03</v>
      </c>
      <c r="Y122" s="15">
        <v>0.5</v>
      </c>
      <c r="AD122" s="15">
        <v>0.05</v>
      </c>
      <c r="AE122" s="15"/>
      <c r="AF122" s="15"/>
      <c r="AG122" s="15"/>
      <c r="AH122" s="25">
        <v>2</v>
      </c>
      <c r="AJ122" s="15">
        <v>0.1</v>
      </c>
    </row>
    <row r="123" spans="1:41">
      <c r="A123" s="89"/>
      <c r="B123" s="71"/>
      <c r="C123">
        <v>1985</v>
      </c>
      <c r="D123" t="s">
        <v>450</v>
      </c>
      <c r="E123" t="s">
        <v>450</v>
      </c>
      <c r="G123" t="s">
        <v>451</v>
      </c>
      <c r="H123" t="s">
        <v>452</v>
      </c>
      <c r="O123">
        <f>O122*2</f>
        <v>3</v>
      </c>
      <c r="P123" s="27">
        <f>P122*2</f>
        <v>0.06</v>
      </c>
      <c r="Q123">
        <f>Q122*2</f>
        <v>2</v>
      </c>
      <c r="R123" s="27">
        <f>R122*2</f>
        <v>0.06</v>
      </c>
      <c r="Y123">
        <f>Y122*2</f>
        <v>1</v>
      </c>
      <c r="AD123">
        <f>AD122*2</f>
        <v>0.1</v>
      </c>
      <c r="AH123" s="24">
        <f>AH122+1</f>
        <v>3</v>
      </c>
      <c r="AJ123">
        <f>AJ122+0.05</f>
        <v>0.15000000000000002</v>
      </c>
    </row>
    <row r="124" spans="1:41">
      <c r="A124" s="89"/>
      <c r="B124" s="71"/>
      <c r="C124">
        <v>2005</v>
      </c>
      <c r="D124" t="s">
        <v>453</v>
      </c>
      <c r="E124" t="s">
        <v>453</v>
      </c>
      <c r="G124" t="s">
        <v>454</v>
      </c>
      <c r="H124" t="s">
        <v>455</v>
      </c>
      <c r="O124">
        <f>O122*4</f>
        <v>6</v>
      </c>
      <c r="P124" s="27">
        <f>P122*4</f>
        <v>0.12</v>
      </c>
      <c r="Q124">
        <f>Q122*4</f>
        <v>4</v>
      </c>
      <c r="R124" s="27">
        <f>R122*4</f>
        <v>0.12</v>
      </c>
      <c r="Y124">
        <f>Y122*3</f>
        <v>1.5</v>
      </c>
      <c r="AD124">
        <f>AD122*4</f>
        <v>0.2</v>
      </c>
      <c r="AH124" s="24">
        <f>AH123+1</f>
        <v>4</v>
      </c>
      <c r="AJ124">
        <f>AJ123+0.05</f>
        <v>0.2</v>
      </c>
    </row>
    <row r="125" spans="1:41">
      <c r="A125" s="89"/>
    </row>
    <row r="126" spans="1:41">
      <c r="A126" s="89"/>
      <c r="B126" s="71" t="s">
        <v>683</v>
      </c>
      <c r="C126" s="15">
        <v>1939</v>
      </c>
      <c r="D126" s="15" t="s">
        <v>684</v>
      </c>
      <c r="E126" s="15" t="s">
        <v>525</v>
      </c>
      <c r="F126" s="15"/>
      <c r="G126" s="15" t="s">
        <v>685</v>
      </c>
      <c r="H126" s="15" t="s">
        <v>686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25">
        <v>0.5</v>
      </c>
      <c r="AI126" s="15"/>
      <c r="AJ126" s="15">
        <v>0.15</v>
      </c>
      <c r="AK126" s="15"/>
      <c r="AL126" s="15"/>
      <c r="AM126" s="15"/>
      <c r="AN126" s="15"/>
      <c r="AO126" s="15"/>
    </row>
    <row r="127" spans="1:41">
      <c r="A127" s="89"/>
      <c r="B127" s="71"/>
      <c r="C127">
        <v>2000</v>
      </c>
      <c r="D127" t="s">
        <v>687</v>
      </c>
      <c r="E127" s="1" t="s">
        <v>688</v>
      </c>
      <c r="G127" t="s">
        <v>689</v>
      </c>
      <c r="H127" t="s">
        <v>690</v>
      </c>
      <c r="L127" s="27">
        <v>0.2</v>
      </c>
      <c r="N127" s="27">
        <v>0.2</v>
      </c>
      <c r="P127" s="27">
        <v>0.2</v>
      </c>
      <c r="R127" s="27">
        <v>0.2</v>
      </c>
      <c r="AC127" s="27">
        <v>-0.1</v>
      </c>
      <c r="AD127">
        <v>0.3</v>
      </c>
      <c r="AH127" s="24">
        <v>8</v>
      </c>
      <c r="AJ127">
        <f>AJ126+0.1</f>
        <v>0.25</v>
      </c>
      <c r="AN127">
        <v>1</v>
      </c>
    </row>
    <row r="128" spans="1:41">
      <c r="A128" s="89"/>
    </row>
    <row r="129" spans="1:41">
      <c r="A129" s="89"/>
      <c r="B129" s="71" t="s">
        <v>691</v>
      </c>
      <c r="C129" s="15">
        <v>1939</v>
      </c>
      <c r="D129" s="15" t="s">
        <v>692</v>
      </c>
      <c r="E129" s="15" t="s">
        <v>525</v>
      </c>
      <c r="F129" s="15"/>
      <c r="G129" s="15" t="s">
        <v>693</v>
      </c>
      <c r="H129" s="15" t="s">
        <v>694</v>
      </c>
      <c r="I129" s="15" t="inlineStr">
        <is>
          <t>-4%</t>
        </is>
      </c>
      <c r="J129" s="15"/>
      <c r="K129" s="15"/>
      <c r="L129" s="15" t="inlineStr">
        <is>
          <t>15%</t>
        </is>
      </c>
      <c r="M129" s="15"/>
      <c r="N129" s="15" t="inlineStr">
        <is>
          <t>15%</t>
        </is>
      </c>
      <c r="O129" s="15"/>
      <c r="P129" s="15" t="inlineStr">
        <is>
          <t>7.5%</t>
        </is>
      </c>
      <c r="Q129" s="15"/>
      <c r="R129" s="15" t="inlineStr">
        <is>
          <t>7.5%</t>
        </is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 t="inlineStr">
        <is>
          <t>0.15</t>
        </is>
      </c>
      <c r="AE129" s="15"/>
      <c r="AF129" s="15"/>
      <c r="AG129" s="15" t="inlineStr">
        <is>
          <t>7.5%</t>
        </is>
      </c>
      <c r="AH129" s="25" t="inlineStr">
        <is>
          <t>3.5</t>
        </is>
      </c>
      <c r="AI129" s="15"/>
      <c r="AJ129" s="15" t="inlineStr">
        <is>
          <t>0.45</t>
        </is>
      </c>
      <c r="AK129" s="15"/>
      <c r="AL129" s="15"/>
      <c r="AM129" s="15"/>
      <c r="AN129" s="15" t="inlineStr">
        <is>
          <t>1</t>
        </is>
      </c>
      <c r="AO129" s="15"/>
    </row>
    <row r="130" spans="1:41">
      <c r="A130" s="89"/>
      <c r="B130" s="71"/>
      <c r="C130">
        <v>1970</v>
      </c>
      <c r="D130" t="s">
        <v>695</v>
      </c>
      <c r="E130" t="s">
        <v>435</v>
      </c>
      <c r="G130" t="s">
        <v>696</v>
      </c>
      <c r="H130" t="s">
        <v>697</v>
      </c>
      <c r="I130" s="27">
        <f>I126-4%</f>
        <v>-0.04</v>
      </c>
      <c r="L130" s="28">
        <v>0.17499999999999999</v>
      </c>
      <c r="N130" s="28">
        <v>0.17499999999999999</v>
      </c>
      <c r="P130" s="27">
        <v>0.1</v>
      </c>
      <c r="R130" s="27">
        <v>0.1</v>
      </c>
      <c r="AD130">
        <v>0.2</v>
      </c>
      <c r="AG130" s="27">
        <v>0.1</v>
      </c>
      <c r="AH130" s="24">
        <f>AH129+4.5</f>
        <v>4.5</v>
      </c>
      <c r="AJ130">
        <f>AJ129+0.4</f>
        <v>0.55000000000000004</v>
      </c>
      <c r="AN130">
        <v>1</v>
      </c>
    </row>
    <row r="131" spans="1:41">
      <c r="A131" s="89"/>
      <c r="B131" s="71"/>
      <c r="C131">
        <v>1980</v>
      </c>
      <c r="D131" t="s">
        <v>699</v>
      </c>
      <c r="E131" t="s">
        <v>438</v>
      </c>
      <c r="G131" t="s">
        <v>700</v>
      </c>
      <c r="H131" t="s">
        <v>701</v>
      </c>
      <c r="I131" s="27">
        <f>I130</f>
        <v>-0.04</v>
      </c>
      <c r="L131" s="27">
        <f t="shared" ref="L131:L134" si="20">L130+2.5%</f>
        <v>0.19999999999999998</v>
      </c>
      <c r="N131" s="27">
        <f t="shared" ref="N131:N134" si="21">N130+2.5%</f>
        <v>0.19999999999999998</v>
      </c>
      <c r="P131" s="28">
        <f t="shared" ref="P131:P134" si="22">P130+2.5%</f>
        <v>0.125</v>
      </c>
      <c r="R131" s="28">
        <f t="shared" ref="R131:R134" si="23">R130+2.5%</f>
        <v>0.125</v>
      </c>
      <c r="AD131">
        <f>AD130+0.05</f>
        <v>0.25</v>
      </c>
      <c r="AG131" s="27">
        <f t="shared" ref="AG131:AG134" si="24">AG130+5%</f>
        <v>0.15000000000000002</v>
      </c>
      <c r="AH131" s="24">
        <f>AH130+1</f>
        <v>5.5</v>
      </c>
      <c r="AJ131">
        <f t="shared" ref="AJ131:AJ134" si="25">AJ130+0.1</f>
        <v>0.65</v>
      </c>
      <c r="AN131">
        <v>1</v>
      </c>
    </row>
    <row r="132" spans="1:41">
      <c r="A132" s="89"/>
      <c r="B132" s="71"/>
      <c r="C132">
        <v>1990</v>
      </c>
      <c r="D132" t="s">
        <v>703</v>
      </c>
      <c r="E132" t="s">
        <v>441</v>
      </c>
      <c r="G132" t="s">
        <v>704</v>
      </c>
      <c r="H132" t="s">
        <v>705</v>
      </c>
      <c r="I132" s="27">
        <f>I131</f>
        <v>-0.04</v>
      </c>
      <c r="L132" s="28">
        <f>L131+2.5%</f>
        <v>0.22499999999999998</v>
      </c>
      <c r="N132" s="28">
        <f t="shared" si="21"/>
        <v>0.22499999999999998</v>
      </c>
      <c r="P132" s="27">
        <f t="shared" si="22"/>
        <v>0.15</v>
      </c>
      <c r="R132" s="27">
        <f t="shared" si="23"/>
        <v>0.15</v>
      </c>
      <c r="AD132">
        <f>AD131+0.05</f>
        <v>0.3</v>
      </c>
      <c r="AG132" s="27">
        <f t="shared" si="24"/>
        <v>0.2</v>
      </c>
      <c r="AH132" s="24">
        <f>AH131+1</f>
        <v>6.5</v>
      </c>
      <c r="AJ132">
        <f t="shared" si="25"/>
        <v>0.75</v>
      </c>
      <c r="AN132">
        <v>1</v>
      </c>
    </row>
    <row r="133" spans="1:41">
      <c r="A133" s="89"/>
      <c r="B133" s="71"/>
      <c r="C133">
        <v>2000</v>
      </c>
      <c r="D133" t="s">
        <v>707</v>
      </c>
      <c r="E133" s="1" t="s">
        <v>708</v>
      </c>
      <c r="G133" t="s">
        <v>709</v>
      </c>
      <c r="H133" t="s">
        <v>710</v>
      </c>
      <c r="I133" s="27">
        <f>I132</f>
        <v>-0.04</v>
      </c>
      <c r="L133" s="27">
        <f t="shared" si="20"/>
        <v>0.24999999999999997</v>
      </c>
      <c r="N133" s="27">
        <f t="shared" si="21"/>
        <v>0.24999999999999997</v>
      </c>
      <c r="P133" s="28">
        <f t="shared" si="22"/>
        <v>0.17499999999999999</v>
      </c>
      <c r="R133" s="28">
        <f t="shared" si="23"/>
        <v>0.17499999999999999</v>
      </c>
      <c r="AD133">
        <f>AD132+0.05</f>
        <v>0.35</v>
      </c>
      <c r="AG133" s="27">
        <f t="shared" si="24"/>
        <v>0.25</v>
      </c>
      <c r="AH133" s="24">
        <f>AH132+1</f>
        <v>7.5</v>
      </c>
      <c r="AJ133">
        <f t="shared" si="25"/>
        <v>0.85</v>
      </c>
      <c r="AN133">
        <v>1</v>
      </c>
    </row>
    <row r="134" spans="1:41">
      <c r="A134" s="89"/>
      <c r="B134" s="71"/>
      <c r="C134">
        <v>2010</v>
      </c>
      <c r="D134" t="s">
        <v>712</v>
      </c>
      <c r="E134" t="s">
        <v>438</v>
      </c>
      <c r="G134" t="s">
        <v>713</v>
      </c>
      <c r="H134" t="s">
        <v>714</v>
      </c>
      <c r="I134" s="27">
        <f>I133</f>
        <v>-0.04</v>
      </c>
      <c r="L134" s="28">
        <f t="shared" si="20"/>
        <v>0.27499999999999997</v>
      </c>
      <c r="N134" s="28">
        <f t="shared" si="21"/>
        <v>0.27499999999999997</v>
      </c>
      <c r="P134" s="27">
        <f t="shared" si="22"/>
        <v>0.19999999999999998</v>
      </c>
      <c r="R134" s="27">
        <f t="shared" si="23"/>
        <v>0.19999999999999998</v>
      </c>
      <c r="AD134">
        <f>AD133+0.05</f>
        <v>0.39999999999999997</v>
      </c>
      <c r="AG134" s="27">
        <f t="shared" si="24"/>
        <v>0.3</v>
      </c>
      <c r="AH134" s="24">
        <f>AH133+1</f>
        <v>8.5</v>
      </c>
      <c r="AJ134">
        <f t="shared" si="25"/>
        <v>0.95</v>
      </c>
      <c r="AN134">
        <v>1</v>
      </c>
    </row>
    <row r="135" spans="1:41">
      <c r="A135" s="89"/>
    </row>
    <row r="136" spans="1:41">
      <c r="A136" s="89"/>
      <c r="B136" s="71" t="s">
        <v>400</v>
      </c>
      <c r="C136" s="15">
        <v>1955</v>
      </c>
      <c r="D136" s="15" t="s">
        <v>401</v>
      </c>
      <c r="E136" s="15" t="s">
        <v>401</v>
      </c>
      <c r="G136" s="15" t="s">
        <v>402</v>
      </c>
      <c r="H136" s="15" t="s">
        <v>403</v>
      </c>
      <c r="I136" s="26">
        <v>-0.05</v>
      </c>
      <c r="L136" s="26">
        <v>0.05</v>
      </c>
      <c r="M136" s="15"/>
      <c r="N136" s="26">
        <v>0.05</v>
      </c>
      <c r="O136" s="15"/>
      <c r="P136" s="26">
        <v>0.05</v>
      </c>
      <c r="Q136" s="15"/>
      <c r="R136" s="26">
        <v>0.05</v>
      </c>
      <c r="Z136" s="15"/>
      <c r="AC136" s="26">
        <v>-0.05</v>
      </c>
      <c r="AD136" s="15">
        <v>0.15</v>
      </c>
      <c r="AE136" s="15"/>
      <c r="AF136" s="15"/>
      <c r="AH136" s="25">
        <v>3</v>
      </c>
      <c r="AJ136" s="15">
        <v>0.1</v>
      </c>
    </row>
    <row r="137" spans="1:41">
      <c r="A137" s="89"/>
      <c r="B137" s="71"/>
      <c r="C137">
        <v>1965</v>
      </c>
      <c r="D137" t="s">
        <v>404</v>
      </c>
      <c r="E137" t="s">
        <v>404</v>
      </c>
      <c r="G137" t="s">
        <v>405</v>
      </c>
      <c r="H137" s="22" t="s">
        <v>406</v>
      </c>
      <c r="I137" s="28">
        <f>I136+2.5%</f>
        <v>-2.5000000000000001E-2</v>
      </c>
      <c r="L137" s="27">
        <f>L136*2</f>
        <v>0.1</v>
      </c>
      <c r="N137" s="27">
        <f>N136*2</f>
        <v>0.1</v>
      </c>
      <c r="P137" s="27">
        <f>P136*2</f>
        <v>0.1</v>
      </c>
      <c r="R137" s="27">
        <f>R136*2</f>
        <v>0.1</v>
      </c>
      <c r="AC137" s="28">
        <f>AC136-2.5%</f>
        <v>-7.5000000000000011E-2</v>
      </c>
      <c r="AD137">
        <f>AD136+0.1</f>
        <v>0.25</v>
      </c>
      <c r="AH137" s="24">
        <f>AH136+0.75</f>
        <v>3.75</v>
      </c>
      <c r="AJ137">
        <f t="shared" ref="AJ137:AJ142" si="26">AJ136+0.05</f>
        <v>0.15000000000000002</v>
      </c>
      <c r="AN137">
        <v>1</v>
      </c>
    </row>
    <row r="138" spans="1:41">
      <c r="A138" s="89"/>
      <c r="B138" s="71"/>
      <c r="C138">
        <v>1975</v>
      </c>
      <c r="D138" t="s">
        <v>407</v>
      </c>
      <c r="E138" t="s">
        <v>407</v>
      </c>
      <c r="G138" t="s">
        <v>408</v>
      </c>
      <c r="H138" s="22" t="s">
        <v>409</v>
      </c>
      <c r="I138" s="27">
        <f>I137+1.5%</f>
        <v>-1.0000000000000002E-2</v>
      </c>
      <c r="L138" s="27">
        <f>L136*3</f>
        <v>0.15000000000000002</v>
      </c>
      <c r="N138" s="27">
        <f>N136*3</f>
        <v>0.15000000000000002</v>
      </c>
      <c r="P138" s="27">
        <f>P136*3</f>
        <v>0.15000000000000002</v>
      </c>
      <c r="R138" s="27">
        <f>R136*3</f>
        <v>0.15000000000000002</v>
      </c>
      <c r="AC138" s="27">
        <f t="shared" ref="AC138:AC142" si="27">AC137-2.5%</f>
        <v>-0.1</v>
      </c>
      <c r="AD138">
        <f t="shared" ref="AD138:AD142" si="28">AD137+0.1</f>
        <v>0.35</v>
      </c>
      <c r="AH138" s="24">
        <f t="shared" ref="AH138:AH142" si="29">AH137+0.75</f>
        <v>4.5</v>
      </c>
      <c r="AJ138">
        <f t="shared" si="26"/>
        <v>0.2</v>
      </c>
      <c r="AN138">
        <v>2</v>
      </c>
    </row>
    <row r="139" spans="1:41">
      <c r="A139" s="89"/>
      <c r="B139" s="71"/>
      <c r="C139">
        <v>1985</v>
      </c>
      <c r="D139" t="s">
        <v>410</v>
      </c>
      <c r="E139" t="s">
        <v>410</v>
      </c>
      <c r="G139" t="s">
        <v>411</v>
      </c>
      <c r="H139" s="22" t="s">
        <v>412</v>
      </c>
      <c r="I139" s="27">
        <f>I138</f>
        <v>-1.0000000000000002E-2</v>
      </c>
      <c r="L139" s="27">
        <f>L136*4</f>
        <v>0.2</v>
      </c>
      <c r="N139" s="27">
        <f>N136*4</f>
        <v>0.2</v>
      </c>
      <c r="P139" s="27">
        <f>P136*4</f>
        <v>0.2</v>
      </c>
      <c r="R139" s="27">
        <f>R136*4</f>
        <v>0.2</v>
      </c>
      <c r="Z139" s="27">
        <f>Z136+10%</f>
        <v>0.1</v>
      </c>
      <c r="AC139" s="28">
        <f t="shared" si="27"/>
        <v>-0.125</v>
      </c>
      <c r="AD139">
        <f t="shared" si="28"/>
        <v>0.44999999999999996</v>
      </c>
      <c r="AH139" s="24">
        <f t="shared" si="29"/>
        <v>5.25</v>
      </c>
      <c r="AJ139">
        <f t="shared" si="26"/>
        <v>0.25</v>
      </c>
      <c r="AN139">
        <v>2</v>
      </c>
    </row>
    <row r="140" spans="1:41">
      <c r="A140" s="89"/>
      <c r="B140" s="71"/>
      <c r="C140">
        <v>1995</v>
      </c>
      <c r="D140" t="s">
        <v>413</v>
      </c>
      <c r="E140" t="s">
        <v>413</v>
      </c>
      <c r="G140" t="s">
        <v>414</v>
      </c>
      <c r="H140" s="22" t="s">
        <v>415</v>
      </c>
      <c r="I140" s="27">
        <f>I139</f>
        <v>-1.0000000000000002E-2</v>
      </c>
      <c r="L140" s="27">
        <f>L136*5</f>
        <v>0.25</v>
      </c>
      <c r="N140" s="27">
        <f>N136*5</f>
        <v>0.25</v>
      </c>
      <c r="P140" s="27">
        <f>P136*5</f>
        <v>0.25</v>
      </c>
      <c r="R140" s="27">
        <f>R136*5</f>
        <v>0.25</v>
      </c>
      <c r="Z140" s="27">
        <f>Z139+5%</f>
        <v>0.15000000000000002</v>
      </c>
      <c r="AC140" s="27">
        <f t="shared" si="27"/>
        <v>-0.15</v>
      </c>
      <c r="AD140">
        <f>AD139+0.1</f>
        <v>0.54999999999999993</v>
      </c>
      <c r="AH140" s="24">
        <f t="shared" si="29"/>
        <v>6</v>
      </c>
      <c r="AJ140">
        <f t="shared" si="26"/>
        <v>0.3</v>
      </c>
      <c r="AN140">
        <v>2</v>
      </c>
    </row>
    <row r="141" spans="1:41">
      <c r="A141" s="89"/>
      <c r="B141" s="71"/>
      <c r="C141">
        <v>2005</v>
      </c>
      <c r="D141" t="s">
        <v>416</v>
      </c>
      <c r="E141" t="s">
        <v>416</v>
      </c>
      <c r="G141" t="s">
        <v>417</v>
      </c>
      <c r="H141" t="s">
        <v>418</v>
      </c>
      <c r="I141" s="27">
        <f>I140</f>
        <v>-1.0000000000000002E-2</v>
      </c>
      <c r="L141" s="27">
        <f>L136*6</f>
        <v>0.30000000000000004</v>
      </c>
      <c r="N141" s="27">
        <f>N136*6</f>
        <v>0.30000000000000004</v>
      </c>
      <c r="P141" s="27">
        <f>P136*6</f>
        <v>0.30000000000000004</v>
      </c>
      <c r="R141" s="27">
        <f>R136*6</f>
        <v>0.30000000000000004</v>
      </c>
      <c r="Z141" s="27">
        <f>Z140+5%</f>
        <v>0.2</v>
      </c>
      <c r="AC141" s="28">
        <f t="shared" si="27"/>
        <v>-0.17499999999999999</v>
      </c>
      <c r="AD141">
        <f t="shared" si="28"/>
        <v>0.64999999999999991</v>
      </c>
      <c r="AH141" s="24">
        <f t="shared" si="29"/>
        <v>6.75</v>
      </c>
      <c r="AJ141">
        <f t="shared" si="26"/>
        <v>0.35</v>
      </c>
      <c r="AN141">
        <v>2</v>
      </c>
    </row>
    <row r="142" spans="1:41">
      <c r="A142" s="89"/>
      <c r="B142" s="71"/>
      <c r="C142">
        <v>2015</v>
      </c>
      <c r="D142" t="s">
        <v>419</v>
      </c>
      <c r="E142" t="s">
        <v>419</v>
      </c>
      <c r="G142" t="s">
        <v>420</v>
      </c>
      <c r="H142" s="22" t="s">
        <v>421</v>
      </c>
      <c r="I142" s="27">
        <f>I141</f>
        <v>-1.0000000000000002E-2</v>
      </c>
      <c r="L142" s="27">
        <f>L136*7</f>
        <v>0.35000000000000003</v>
      </c>
      <c r="N142" s="27">
        <f>N136*7</f>
        <v>0.35000000000000003</v>
      </c>
      <c r="P142" s="27">
        <f>P136*7</f>
        <v>0.35000000000000003</v>
      </c>
      <c r="R142" s="27">
        <f>R136*7</f>
        <v>0.35000000000000003</v>
      </c>
      <c r="Z142" s="27">
        <f>Z141+5%</f>
        <v>0.25</v>
      </c>
      <c r="AC142" s="27">
        <f t="shared" si="27"/>
        <v>-0.19999999999999998</v>
      </c>
      <c r="AD142">
        <f t="shared" si="28"/>
        <v>0.74999999999999989</v>
      </c>
      <c r="AH142" s="24">
        <f t="shared" si="29"/>
        <v>7.5</v>
      </c>
      <c r="AJ142">
        <f t="shared" si="26"/>
        <v>0.39999999999999997</v>
      </c>
      <c r="AN142">
        <v>2</v>
      </c>
    </row>
    <row r="143" spans="1:41">
      <c r="A143" s="89"/>
    </row>
    <row r="144" spans="1:41">
      <c r="A144" s="89"/>
      <c r="B144" s="92" t="s">
        <v>719</v>
      </c>
      <c r="C144" s="15">
        <v>1985</v>
      </c>
      <c r="D144" s="15" t="s">
        <v>720</v>
      </c>
      <c r="E144" s="15" t="s">
        <v>410</v>
      </c>
      <c r="F144" s="15"/>
      <c r="G144" s="15" t="s">
        <v>721</v>
      </c>
      <c r="H144" s="15" t="s">
        <v>722</v>
      </c>
      <c r="I144" s="26">
        <v>-0.01</v>
      </c>
      <c r="J144" s="15"/>
      <c r="K144" s="15"/>
      <c r="L144" s="26">
        <v>0.25</v>
      </c>
      <c r="M144" s="15"/>
      <c r="N144" s="26">
        <v>0.25</v>
      </c>
      <c r="O144" s="15"/>
      <c r="P144" s="26">
        <v>0.25</v>
      </c>
      <c r="Q144" s="15"/>
      <c r="R144" s="26">
        <v>0.25</v>
      </c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39">
        <v>-0.17499999999999999</v>
      </c>
      <c r="AD144" s="15">
        <v>0.45</v>
      </c>
      <c r="AE144" s="15"/>
      <c r="AF144" s="15"/>
      <c r="AG144" s="15"/>
      <c r="AH144" s="25">
        <v>5.25</v>
      </c>
      <c r="AI144" s="15"/>
      <c r="AJ144" s="51">
        <v>0.25</v>
      </c>
      <c r="AK144" s="15"/>
      <c r="AL144" s="15"/>
      <c r="AM144" s="15"/>
      <c r="AN144" s="15">
        <v>2</v>
      </c>
      <c r="AO144" s="15"/>
    </row>
    <row r="145" spans="1:41">
      <c r="A145" s="89"/>
      <c r="B145" s="92"/>
      <c r="C145">
        <v>1995</v>
      </c>
      <c r="D145" t="s">
        <v>723</v>
      </c>
      <c r="E145" t="s">
        <v>413</v>
      </c>
      <c r="G145" t="s">
        <v>724</v>
      </c>
      <c r="H145" s="22" t="s">
        <v>725</v>
      </c>
      <c r="I145" s="27">
        <f>I144</f>
        <v>-0.01</v>
      </c>
      <c r="L145" s="27">
        <f>L144+5%</f>
        <v>0.3</v>
      </c>
      <c r="N145" s="27">
        <f>N144+5%</f>
        <v>0.3</v>
      </c>
      <c r="P145" s="27">
        <f>P144+5%</f>
        <v>0.3</v>
      </c>
      <c r="R145" s="27">
        <f>R144+5%</f>
        <v>0.3</v>
      </c>
      <c r="AC145" s="27">
        <f>AC144-2.5%</f>
        <v>-0.19999999999999998</v>
      </c>
      <c r="AD145">
        <f>AD144+0.1</f>
        <v>0.55000000000000004</v>
      </c>
      <c r="AH145" s="24">
        <f>AH144+0.75</f>
        <v>6</v>
      </c>
      <c r="AJ145">
        <f t="shared" ref="AJ145:AJ147" si="30">AJ144+0.05</f>
        <v>0.3</v>
      </c>
      <c r="AN145">
        <v>2</v>
      </c>
    </row>
    <row r="146" spans="1:41">
      <c r="A146" s="89"/>
      <c r="B146" s="92"/>
      <c r="C146">
        <v>2005</v>
      </c>
      <c r="D146" t="s">
        <v>726</v>
      </c>
      <c r="E146" t="s">
        <v>416</v>
      </c>
      <c r="G146" t="s">
        <v>727</v>
      </c>
      <c r="H146" s="22" t="s">
        <v>728</v>
      </c>
      <c r="I146" s="27">
        <f t="shared" ref="I146:I147" si="31">I145</f>
        <v>-0.01</v>
      </c>
      <c r="L146" s="27">
        <f>L145+5%</f>
        <v>0.35</v>
      </c>
      <c r="N146" s="27">
        <f>N145+5%</f>
        <v>0.35</v>
      </c>
      <c r="P146" s="27">
        <f>P145+5%</f>
        <v>0.35</v>
      </c>
      <c r="R146" s="27">
        <f>R145+5%</f>
        <v>0.35</v>
      </c>
      <c r="AC146" s="28">
        <f t="shared" ref="AC146:AC147" si="32">AC145-2.5%</f>
        <v>-0.22499999999999998</v>
      </c>
      <c r="AD146">
        <f t="shared" ref="AD146:AD147" si="33">AD145+0.1</f>
        <v>0.65</v>
      </c>
      <c r="AH146" s="24">
        <f t="shared" ref="AH146:AH147" si="34">AH145+0.75</f>
        <v>6.75</v>
      </c>
      <c r="AJ146">
        <f t="shared" si="30"/>
        <v>0.35</v>
      </c>
      <c r="AN146">
        <v>2</v>
      </c>
    </row>
    <row r="147" spans="1:41">
      <c r="A147" s="89"/>
      <c r="B147" s="92"/>
      <c r="C147">
        <v>2015</v>
      </c>
      <c r="D147" t="s">
        <v>729</v>
      </c>
      <c r="E147" t="s">
        <v>419</v>
      </c>
      <c r="G147" t="s">
        <v>730</v>
      </c>
      <c r="H147" s="22" t="s">
        <v>731</v>
      </c>
      <c r="I147" s="27">
        <f t="shared" si="31"/>
        <v>-0.01</v>
      </c>
      <c r="L147" s="27">
        <f>L146+5%</f>
        <v>0.39999999999999997</v>
      </c>
      <c r="N147" s="27">
        <f>N146+5%</f>
        <v>0.39999999999999997</v>
      </c>
      <c r="P147" s="27">
        <f>P146+5%</f>
        <v>0.39999999999999997</v>
      </c>
      <c r="R147" s="27">
        <f>R146+5%</f>
        <v>0.39999999999999997</v>
      </c>
      <c r="AC147" s="27">
        <f t="shared" si="32"/>
        <v>-0.24999999999999997</v>
      </c>
      <c r="AD147">
        <f t="shared" si="33"/>
        <v>0.75</v>
      </c>
      <c r="AH147" s="24">
        <f t="shared" si="34"/>
        <v>7.5</v>
      </c>
      <c r="AJ147">
        <f t="shared" si="30"/>
        <v>0.39999999999999997</v>
      </c>
      <c r="AN147">
        <v>2</v>
      </c>
    </row>
    <row r="148" spans="1:41">
      <c r="A148" s="89"/>
      <c r="B148" s="66"/>
    </row>
    <row r="149" spans="1:41">
      <c r="A149" s="89"/>
      <c r="B149" s="71" t="s">
        <v>732</v>
      </c>
      <c r="C149" s="15">
        <v>1960</v>
      </c>
      <c r="D149" s="15" t="s">
        <v>733</v>
      </c>
      <c r="E149" s="15" t="s">
        <v>734</v>
      </c>
      <c r="F149" s="15"/>
      <c r="G149" s="15" t="s">
        <v>735</v>
      </c>
      <c r="H149" s="15" t="s">
        <v>736</v>
      </c>
      <c r="I149" s="26">
        <v>-0.05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26">
        <v>-0.05</v>
      </c>
      <c r="AD149" s="15">
        <v>1</v>
      </c>
      <c r="AE149" s="31" t="s">
        <v>737</v>
      </c>
      <c r="AF149" s="15"/>
      <c r="AG149" s="26">
        <v>0.2</v>
      </c>
      <c r="AH149" s="25">
        <v>4</v>
      </c>
      <c r="AI149" s="15"/>
      <c r="AJ149" s="15">
        <v>0.1</v>
      </c>
      <c r="AK149" s="15"/>
      <c r="AL149" s="15"/>
      <c r="AM149" s="15"/>
      <c r="AN149" s="15">
        <v>1</v>
      </c>
      <c r="AO149" s="15"/>
    </row>
    <row r="150" spans="1:41">
      <c r="A150" s="89"/>
      <c r="B150" s="71"/>
      <c r="C150">
        <v>1970</v>
      </c>
      <c r="D150" t="s">
        <v>738</v>
      </c>
      <c r="E150" t="s">
        <v>739</v>
      </c>
      <c r="G150" t="s">
        <v>740</v>
      </c>
      <c r="H150" t="s">
        <v>741</v>
      </c>
      <c r="I150" s="27">
        <f>I149</f>
        <v>-0.05</v>
      </c>
      <c r="AC150" s="28">
        <f>AC149-2.5%</f>
        <v>-7.5000000000000011E-2</v>
      </c>
      <c r="AD150">
        <f>AD149+0.2</f>
        <v>1.2</v>
      </c>
      <c r="AG150" s="27">
        <f>AG149+5%</f>
        <v>0.25</v>
      </c>
      <c r="AH150" s="24">
        <f>AH149+0.75</f>
        <v>4.75</v>
      </c>
      <c r="AJ150">
        <f t="shared" ref="AJ150:AJ155" si="35">AJ149+0.05</f>
        <v>0.15000000000000002</v>
      </c>
      <c r="AN150">
        <v>1</v>
      </c>
    </row>
    <row r="151" spans="1:41">
      <c r="A151" s="89"/>
      <c r="B151" s="71"/>
      <c r="C151">
        <v>1980</v>
      </c>
      <c r="D151" t="s">
        <v>742</v>
      </c>
      <c r="E151" t="s">
        <v>743</v>
      </c>
      <c r="G151" t="s">
        <v>744</v>
      </c>
      <c r="H151" t="s">
        <v>745</v>
      </c>
      <c r="I151" s="27">
        <f t="shared" ref="I151:I155" si="36">I150</f>
        <v>-0.05</v>
      </c>
      <c r="AC151" s="27">
        <f t="shared" ref="AC151:AC155" si="37">AC150-2.5%</f>
        <v>-0.1</v>
      </c>
      <c r="AD151">
        <f t="shared" ref="AD151:AD155" si="38">AD150+0.2</f>
        <v>1.4</v>
      </c>
      <c r="AG151" s="27">
        <f t="shared" ref="AG151:AG155" si="39">AG150+5%</f>
        <v>0.3</v>
      </c>
      <c r="AH151" s="24">
        <f t="shared" ref="AH151:AH155" si="40">AH150+0.75</f>
        <v>5.5</v>
      </c>
      <c r="AJ151">
        <f t="shared" si="35"/>
        <v>0.2</v>
      </c>
      <c r="AN151">
        <v>1</v>
      </c>
    </row>
    <row r="152" spans="1:41">
      <c r="A152" s="89"/>
      <c r="B152" s="71"/>
      <c r="C152">
        <v>1990</v>
      </c>
      <c r="D152" t="s">
        <v>746</v>
      </c>
      <c r="E152" t="s">
        <v>747</v>
      </c>
      <c r="G152" t="s">
        <v>748</v>
      </c>
      <c r="H152" t="s">
        <v>749</v>
      </c>
      <c r="I152" s="27">
        <f t="shared" si="36"/>
        <v>-0.05</v>
      </c>
      <c r="AC152" s="28">
        <f t="shared" si="37"/>
        <v>-0.125</v>
      </c>
      <c r="AD152">
        <f t="shared" si="38"/>
        <v>1.5999999999999999</v>
      </c>
      <c r="AG152" s="27">
        <f t="shared" si="39"/>
        <v>0.35</v>
      </c>
      <c r="AH152" s="24">
        <f t="shared" si="40"/>
        <v>6.25</v>
      </c>
      <c r="AJ152">
        <f t="shared" si="35"/>
        <v>0.25</v>
      </c>
      <c r="AN152">
        <v>2</v>
      </c>
    </row>
    <row r="153" spans="1:41">
      <c r="A153" s="89"/>
      <c r="B153" s="71"/>
      <c r="C153">
        <v>2000</v>
      </c>
      <c r="D153" t="s">
        <v>750</v>
      </c>
      <c r="E153" t="s">
        <v>751</v>
      </c>
      <c r="G153" t="s">
        <v>752</v>
      </c>
      <c r="H153" t="s">
        <v>753</v>
      </c>
      <c r="I153" s="27">
        <f t="shared" si="36"/>
        <v>-0.05</v>
      </c>
      <c r="AC153" s="27">
        <f t="shared" si="37"/>
        <v>-0.15</v>
      </c>
      <c r="AD153">
        <f t="shared" si="38"/>
        <v>1.7999999999999998</v>
      </c>
      <c r="AG153" s="27">
        <f t="shared" si="39"/>
        <v>0.39999999999999997</v>
      </c>
      <c r="AH153" s="24">
        <f t="shared" si="40"/>
        <v>7</v>
      </c>
      <c r="AJ153">
        <f t="shared" si="35"/>
        <v>0.3</v>
      </c>
      <c r="AN153">
        <v>2</v>
      </c>
    </row>
    <row r="154" spans="1:41">
      <c r="A154" s="89"/>
      <c r="B154" s="71"/>
      <c r="C154">
        <v>2010</v>
      </c>
      <c r="D154" t="s">
        <v>754</v>
      </c>
      <c r="E154" t="s">
        <v>755</v>
      </c>
      <c r="G154" t="s">
        <v>756</v>
      </c>
      <c r="H154" t="s">
        <v>757</v>
      </c>
      <c r="I154" s="27">
        <f t="shared" si="36"/>
        <v>-0.05</v>
      </c>
      <c r="AC154" s="28">
        <f t="shared" si="37"/>
        <v>-0.17499999999999999</v>
      </c>
      <c r="AD154">
        <f t="shared" si="38"/>
        <v>1.9999999999999998</v>
      </c>
      <c r="AG154" s="27">
        <f t="shared" si="39"/>
        <v>0.44999999999999996</v>
      </c>
      <c r="AH154" s="24">
        <f t="shared" si="40"/>
        <v>7.75</v>
      </c>
      <c r="AJ154">
        <f t="shared" si="35"/>
        <v>0.35</v>
      </c>
      <c r="AN154">
        <v>2</v>
      </c>
    </row>
    <row r="155" spans="1:41">
      <c r="A155" s="89"/>
      <c r="B155" s="71"/>
      <c r="C155">
        <v>2020</v>
      </c>
      <c r="D155" t="s">
        <v>758</v>
      </c>
      <c r="E155" t="s">
        <v>759</v>
      </c>
      <c r="G155" t="s">
        <v>760</v>
      </c>
      <c r="H155" t="s">
        <v>761</v>
      </c>
      <c r="I155" s="27">
        <f t="shared" si="36"/>
        <v>-0.05</v>
      </c>
      <c r="AC155" s="27">
        <f t="shared" si="37"/>
        <v>-0.19999999999999998</v>
      </c>
      <c r="AD155">
        <f t="shared" si="38"/>
        <v>2.1999999999999997</v>
      </c>
      <c r="AG155" s="27">
        <f t="shared" si="39"/>
        <v>0.49999999999999994</v>
      </c>
      <c r="AH155" s="24">
        <f t="shared" si="40"/>
        <v>8.5</v>
      </c>
      <c r="AJ155">
        <f t="shared" si="35"/>
        <v>0.39999999999999997</v>
      </c>
      <c r="AN155">
        <v>2</v>
      </c>
    </row>
    <row r="158" spans="1:41">
      <c r="A158" s="77" t="s">
        <v>471</v>
      </c>
      <c r="B158" s="77" t="s">
        <v>2</v>
      </c>
      <c r="C158" s="77" t="s">
        <v>3</v>
      </c>
      <c r="D158" s="77" t="s">
        <v>472</v>
      </c>
      <c r="E158" s="77" t="s">
        <v>473</v>
      </c>
      <c r="F158" s="86" t="s">
        <v>240</v>
      </c>
      <c r="G158" s="87"/>
      <c r="H158" s="77" t="s">
        <v>474</v>
      </c>
      <c r="I158" s="79" t="s">
        <v>121</v>
      </c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1"/>
      <c r="AK158" s="82" t="s">
        <v>241</v>
      </c>
      <c r="AL158" s="83"/>
      <c r="AM158" s="83"/>
      <c r="AN158" s="83"/>
      <c r="AO158" s="84"/>
    </row>
    <row r="159" spans="1:41">
      <c r="A159" s="78"/>
      <c r="B159" s="78"/>
      <c r="C159" s="78"/>
      <c r="D159" s="78"/>
      <c r="E159" s="78"/>
      <c r="F159" s="68" t="s">
        <v>477</v>
      </c>
      <c r="G159" s="68" t="s">
        <v>243</v>
      </c>
      <c r="H159" s="78"/>
      <c r="I159" s="46" t="s">
        <v>244</v>
      </c>
      <c r="J159" s="46" t="s">
        <v>245</v>
      </c>
      <c r="K159" s="46" t="s">
        <v>124</v>
      </c>
      <c r="L159" s="46" t="s">
        <v>246</v>
      </c>
      <c r="M159" s="46" t="s">
        <v>125</v>
      </c>
      <c r="N159" s="46" t="s">
        <v>247</v>
      </c>
      <c r="O159" s="46" t="s">
        <v>248</v>
      </c>
      <c r="P159" s="46" t="s">
        <v>249</v>
      </c>
      <c r="Q159" s="46" t="s">
        <v>250</v>
      </c>
      <c r="R159" s="46" t="s">
        <v>251</v>
      </c>
      <c r="S159" s="46" t="s">
        <v>8</v>
      </c>
      <c r="T159" s="46" t="s">
        <v>253</v>
      </c>
      <c r="U159" s="46" t="s">
        <v>126</v>
      </c>
      <c r="V159" s="46" t="s">
        <v>478</v>
      </c>
      <c r="W159" s="46" t="s">
        <v>127</v>
      </c>
      <c r="X159" s="46" t="s">
        <v>252</v>
      </c>
      <c r="Y159" s="46" t="s">
        <v>112</v>
      </c>
      <c r="Z159" s="46" t="s">
        <v>343</v>
      </c>
      <c r="AA159" s="53" t="s">
        <v>479</v>
      </c>
      <c r="AB159" s="46" t="s">
        <v>254</v>
      </c>
      <c r="AC159" s="46" t="s">
        <v>255</v>
      </c>
      <c r="AD159" s="46" t="s">
        <v>256</v>
      </c>
      <c r="AE159" s="46" t="s">
        <v>257</v>
      </c>
      <c r="AF159" s="46" t="s">
        <v>480</v>
      </c>
      <c r="AG159" s="46" t="s">
        <v>481</v>
      </c>
      <c r="AH159" s="47" t="s">
        <v>9</v>
      </c>
      <c r="AI159" s="46" t="s">
        <v>258</v>
      </c>
      <c r="AJ159" s="46" t="s">
        <v>259</v>
      </c>
      <c r="AK159" s="46" t="s">
        <v>260</v>
      </c>
      <c r="AL159" s="46" t="s">
        <v>261</v>
      </c>
      <c r="AM159" s="46" t="s">
        <v>262</v>
      </c>
      <c r="AN159" s="46" t="s">
        <v>263</v>
      </c>
      <c r="AO159" s="46" t="s">
        <v>264</v>
      </c>
    </row>
    <row r="160" spans="1:41" ht="15" customHeight="1">
      <c r="A160" s="89" t="s">
        <v>711</v>
      </c>
      <c r="B160" s="90" t="s">
        <v>762</v>
      </c>
      <c r="C160" s="15">
        <v>1939</v>
      </c>
      <c r="D160" s="15" t="s">
        <v>763</v>
      </c>
      <c r="E160" s="15" t="s">
        <v>764</v>
      </c>
      <c r="F160" s="15"/>
      <c r="G160" s="15" t="s">
        <v>765</v>
      </c>
      <c r="H160" s="15" t="s">
        <v>766</v>
      </c>
      <c r="I160" s="26">
        <v>0.1</v>
      </c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>
        <v>2</v>
      </c>
      <c r="AE160" s="15"/>
      <c r="AF160" s="15"/>
      <c r="AG160" s="15"/>
      <c r="AH160" s="25">
        <v>2</v>
      </c>
      <c r="AI160" s="15"/>
      <c r="AJ160" s="15">
        <v>0.2</v>
      </c>
      <c r="AK160" s="15"/>
      <c r="AL160" s="15">
        <v>1</v>
      </c>
      <c r="AM160" s="15"/>
      <c r="AN160" s="15"/>
      <c r="AO160" s="15"/>
    </row>
    <row r="161" spans="1:41">
      <c r="A161" s="89"/>
      <c r="B161" s="90"/>
      <c r="C161">
        <v>1950</v>
      </c>
      <c r="D161" t="s">
        <v>767</v>
      </c>
      <c r="E161" t="s">
        <v>768</v>
      </c>
      <c r="G161" t="s">
        <v>769</v>
      </c>
      <c r="H161" t="s">
        <v>770</v>
      </c>
      <c r="I161" s="28">
        <f>I160+2.5%</f>
        <v>0.125</v>
      </c>
      <c r="X161" s="27">
        <f>X160+2%</f>
        <v>0.02</v>
      </c>
      <c r="AD161">
        <f t="shared" ref="AD161:AD166" si="41">AD160-0.1</f>
        <v>1.9</v>
      </c>
      <c r="AE161" s="27">
        <f>AE160-2%</f>
        <v>-0.02</v>
      </c>
      <c r="AH161" s="24">
        <f>AH160+0.3</f>
        <v>2.2999999999999998</v>
      </c>
      <c r="AJ161">
        <f>AJ160+0.05</f>
        <v>0.25</v>
      </c>
      <c r="AL161">
        <v>1</v>
      </c>
    </row>
    <row r="162" spans="1:41">
      <c r="A162" s="89"/>
      <c r="B162" s="90"/>
      <c r="C162">
        <v>1960</v>
      </c>
      <c r="D162" t="s">
        <v>771</v>
      </c>
      <c r="E162" t="s">
        <v>772</v>
      </c>
      <c r="G162" t="s">
        <v>773</v>
      </c>
      <c r="H162" t="s">
        <v>774</v>
      </c>
      <c r="I162" s="27">
        <f t="shared" ref="I162:I166" si="42">I161+2.5%</f>
        <v>0.15</v>
      </c>
      <c r="X162" s="27">
        <f t="shared" ref="X162:X166" si="43">X161+2%</f>
        <v>0.04</v>
      </c>
      <c r="AD162">
        <f t="shared" si="41"/>
        <v>1.7999999999999998</v>
      </c>
      <c r="AE162" s="27">
        <f t="shared" ref="AE162:AE166" si="44">AE161-2%</f>
        <v>-0.04</v>
      </c>
      <c r="AH162" s="24">
        <f>AH161+0.3</f>
        <v>2.5999999999999996</v>
      </c>
      <c r="AJ162">
        <f t="shared" ref="AJ162:AJ165" si="45">AJ161+0.05</f>
        <v>0.3</v>
      </c>
      <c r="AL162">
        <v>1</v>
      </c>
    </row>
    <row r="163" spans="1:41">
      <c r="A163" s="89"/>
      <c r="B163" s="90"/>
      <c r="C163">
        <v>1970</v>
      </c>
      <c r="D163" t="s">
        <v>775</v>
      </c>
      <c r="E163" t="s">
        <v>776</v>
      </c>
      <c r="G163" t="s">
        <v>777</v>
      </c>
      <c r="H163" t="s">
        <v>778</v>
      </c>
      <c r="I163" s="28">
        <f t="shared" si="42"/>
        <v>0.17499999999999999</v>
      </c>
      <c r="X163" s="27">
        <f t="shared" si="43"/>
        <v>0.06</v>
      </c>
      <c r="AD163">
        <f t="shared" si="41"/>
        <v>1.6999999999999997</v>
      </c>
      <c r="AE163" s="27">
        <f t="shared" si="44"/>
        <v>-0.06</v>
      </c>
      <c r="AH163" s="24">
        <f t="shared" ref="AH163:AH166" si="46">AH162+0.3</f>
        <v>2.8999999999999995</v>
      </c>
      <c r="AJ163">
        <f t="shared" si="45"/>
        <v>0.35</v>
      </c>
      <c r="AL163">
        <v>1</v>
      </c>
    </row>
    <row r="164" spans="1:41">
      <c r="A164" s="89"/>
      <c r="B164" s="90"/>
      <c r="C164">
        <v>1980</v>
      </c>
      <c r="D164" t="s">
        <v>779</v>
      </c>
      <c r="E164" t="s">
        <v>780</v>
      </c>
      <c r="G164" t="s">
        <v>781</v>
      </c>
      <c r="H164" t="s">
        <v>782</v>
      </c>
      <c r="I164" s="27">
        <f t="shared" si="42"/>
        <v>0.19999999999999998</v>
      </c>
      <c r="X164" s="27">
        <f t="shared" si="43"/>
        <v>0.08</v>
      </c>
      <c r="AD164">
        <f t="shared" si="41"/>
        <v>1.5999999999999996</v>
      </c>
      <c r="AE164" s="27">
        <f t="shared" si="44"/>
        <v>-0.08</v>
      </c>
      <c r="AH164" s="24">
        <f t="shared" si="46"/>
        <v>3.1999999999999993</v>
      </c>
      <c r="AJ164">
        <f t="shared" si="45"/>
        <v>0.39999999999999997</v>
      </c>
      <c r="AL164">
        <v>2</v>
      </c>
    </row>
    <row r="165" spans="1:41">
      <c r="A165" s="89"/>
      <c r="B165" s="90"/>
      <c r="C165">
        <v>2000</v>
      </c>
      <c r="D165" t="s">
        <v>783</v>
      </c>
      <c r="E165" t="s">
        <v>784</v>
      </c>
      <c r="G165" t="s">
        <v>785</v>
      </c>
      <c r="H165" t="s">
        <v>786</v>
      </c>
      <c r="I165" s="28">
        <f t="shared" si="42"/>
        <v>0.22499999999999998</v>
      </c>
      <c r="X165" s="27">
        <f t="shared" si="43"/>
        <v>0.1</v>
      </c>
      <c r="AD165">
        <f t="shared" si="41"/>
        <v>1.4999999999999996</v>
      </c>
      <c r="AE165" s="27">
        <f t="shared" si="44"/>
        <v>-0.1</v>
      </c>
      <c r="AH165" s="24">
        <f t="shared" si="46"/>
        <v>3.4999999999999991</v>
      </c>
      <c r="AJ165">
        <f t="shared" si="45"/>
        <v>0.44999999999999996</v>
      </c>
      <c r="AL165">
        <v>2</v>
      </c>
      <c r="AM165">
        <v>1</v>
      </c>
    </row>
    <row r="166" spans="1:41">
      <c r="A166" s="89"/>
      <c r="B166" s="90"/>
      <c r="C166">
        <v>2020</v>
      </c>
      <c r="D166" t="s">
        <v>787</v>
      </c>
      <c r="E166" t="s">
        <v>788</v>
      </c>
      <c r="G166" t="s">
        <v>789</v>
      </c>
      <c r="H166" t="s">
        <v>790</v>
      </c>
      <c r="I166" s="27">
        <f t="shared" si="42"/>
        <v>0.24999999999999997</v>
      </c>
      <c r="O166">
        <v>6</v>
      </c>
      <c r="P166" s="27">
        <v>0.1</v>
      </c>
      <c r="Q166">
        <v>6</v>
      </c>
      <c r="R166" s="27">
        <v>0.1</v>
      </c>
      <c r="W166">
        <v>1</v>
      </c>
      <c r="X166" s="27">
        <f t="shared" si="43"/>
        <v>0.12000000000000001</v>
      </c>
      <c r="AD166">
        <f t="shared" si="41"/>
        <v>1.3999999999999995</v>
      </c>
      <c r="AE166" s="27">
        <f t="shared" si="44"/>
        <v>-0.12000000000000001</v>
      </c>
      <c r="AH166" s="24">
        <f t="shared" si="46"/>
        <v>3.7999999999999989</v>
      </c>
      <c r="AI166" s="27">
        <v>0.05</v>
      </c>
      <c r="AJ166">
        <f>AJ165+0.35</f>
        <v>0.79999999999999993</v>
      </c>
      <c r="AL166">
        <v>2</v>
      </c>
      <c r="AM166">
        <v>3</v>
      </c>
      <c r="AN166">
        <v>1</v>
      </c>
    </row>
    <row r="167" spans="1:41">
      <c r="A167" s="89"/>
      <c r="B167" s="56"/>
    </row>
    <row r="168" spans="1:41">
      <c r="A168" s="89"/>
      <c r="B168" s="89" t="s">
        <v>791</v>
      </c>
      <c r="C168" s="15">
        <v>1939</v>
      </c>
      <c r="D168" s="15" t="s">
        <v>792</v>
      </c>
      <c r="E168" s="15" t="s">
        <v>764</v>
      </c>
      <c r="F168" s="15"/>
      <c r="G168" s="15" t="s">
        <v>765</v>
      </c>
      <c r="H168" s="15" t="s">
        <v>793</v>
      </c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>
        <v>1</v>
      </c>
      <c r="X168" s="26">
        <v>0.05</v>
      </c>
      <c r="Y168" s="15"/>
      <c r="Z168" s="15"/>
      <c r="AA168" s="15"/>
      <c r="AB168" s="15"/>
      <c r="AC168" s="15"/>
      <c r="AD168" s="15">
        <v>2.4</v>
      </c>
      <c r="AE168" s="15"/>
      <c r="AF168" s="15"/>
      <c r="AG168" s="15"/>
      <c r="AH168" s="25">
        <v>1</v>
      </c>
      <c r="AI168" s="15"/>
      <c r="AJ168" s="15">
        <v>0.2</v>
      </c>
      <c r="AK168" s="15"/>
      <c r="AL168" s="15"/>
      <c r="AM168" s="15"/>
      <c r="AN168" s="15"/>
      <c r="AO168" s="15"/>
    </row>
    <row r="169" spans="1:41">
      <c r="A169" s="89"/>
      <c r="B169" s="89"/>
      <c r="C169">
        <v>1950</v>
      </c>
      <c r="D169" t="s">
        <v>794</v>
      </c>
      <c r="E169" t="s">
        <v>768</v>
      </c>
      <c r="G169" t="s">
        <v>769</v>
      </c>
      <c r="H169" t="s">
        <v>795</v>
      </c>
      <c r="I169" s="28">
        <f t="shared" ref="I169:I171" si="47">I168+2.5%</f>
        <v>2.5000000000000001E-2</v>
      </c>
      <c r="W169">
        <v>1</v>
      </c>
      <c r="X169" s="27">
        <f t="shared" ref="X169:X171" si="48">X168+2%</f>
        <v>7.0000000000000007E-2</v>
      </c>
      <c r="AD169">
        <f>AD168-0.1</f>
        <v>2.2999999999999998</v>
      </c>
      <c r="AE169" s="27">
        <f t="shared" ref="AE169:AE171" si="49">AE168-2%</f>
        <v>-0.02</v>
      </c>
      <c r="AH169" s="24">
        <f>AH168+0.3</f>
        <v>1.3</v>
      </c>
      <c r="AJ169">
        <f>AJ168+0.05</f>
        <v>0.25</v>
      </c>
    </row>
    <row r="170" spans="1:41">
      <c r="A170" s="89"/>
      <c r="B170" s="89"/>
      <c r="C170">
        <v>1960</v>
      </c>
      <c r="D170" t="s">
        <v>796</v>
      </c>
      <c r="E170" t="s">
        <v>772</v>
      </c>
      <c r="G170" t="s">
        <v>773</v>
      </c>
      <c r="H170" t="s">
        <v>797</v>
      </c>
      <c r="I170" s="27">
        <f t="shared" si="47"/>
        <v>0.05</v>
      </c>
      <c r="W170">
        <v>1</v>
      </c>
      <c r="X170" s="27">
        <f t="shared" si="48"/>
        <v>9.0000000000000011E-2</v>
      </c>
      <c r="AD170">
        <f>AD169-0.1</f>
        <v>2.1999999999999997</v>
      </c>
      <c r="AE170" s="27">
        <f t="shared" si="49"/>
        <v>-0.04</v>
      </c>
      <c r="AH170" s="24">
        <f t="shared" ref="AH170:AH171" si="50">AH169+0.3</f>
        <v>1.6</v>
      </c>
      <c r="AJ170">
        <f t="shared" ref="AJ170:AJ171" si="51">AJ169+0.05</f>
        <v>0.3</v>
      </c>
    </row>
    <row r="171" spans="1:41">
      <c r="A171" s="89"/>
      <c r="B171" s="89"/>
      <c r="C171">
        <v>1970</v>
      </c>
      <c r="D171" t="s">
        <v>798</v>
      </c>
      <c r="E171" t="s">
        <v>776</v>
      </c>
      <c r="G171" t="s">
        <v>777</v>
      </c>
      <c r="H171" t="s">
        <v>799</v>
      </c>
      <c r="I171" s="28">
        <f t="shared" si="47"/>
        <v>7.5000000000000011E-2</v>
      </c>
      <c r="W171">
        <v>1</v>
      </c>
      <c r="X171" s="27">
        <f t="shared" si="48"/>
        <v>0.11000000000000001</v>
      </c>
      <c r="AD171">
        <f>AD170-0.1</f>
        <v>2.0999999999999996</v>
      </c>
      <c r="AE171" s="27">
        <f t="shared" si="49"/>
        <v>-0.06</v>
      </c>
      <c r="AH171" s="24">
        <f t="shared" si="50"/>
        <v>1.9000000000000001</v>
      </c>
      <c r="AJ171">
        <f t="shared" si="51"/>
        <v>0.35</v>
      </c>
    </row>
    <row r="172" spans="1:41">
      <c r="A172" s="89"/>
      <c r="B172" s="56"/>
    </row>
    <row r="173" spans="1:41">
      <c r="A173" s="89"/>
      <c r="B173" s="91" t="s">
        <v>800</v>
      </c>
      <c r="C173" s="15">
        <v>1960</v>
      </c>
      <c r="D173" s="15" t="s">
        <v>801</v>
      </c>
      <c r="E173" s="15" t="s">
        <v>802</v>
      </c>
      <c r="F173" s="15"/>
      <c r="G173" s="15" t="s">
        <v>803</v>
      </c>
      <c r="H173" s="15" t="s">
        <v>804</v>
      </c>
      <c r="I173" s="26">
        <v>-0.05</v>
      </c>
      <c r="J173" s="15"/>
      <c r="K173" s="15"/>
      <c r="L173" s="15"/>
      <c r="M173" s="15"/>
      <c r="N173" s="15"/>
      <c r="O173" s="15">
        <v>3</v>
      </c>
      <c r="P173" s="15"/>
      <c r="Q173" s="15">
        <v>3</v>
      </c>
      <c r="R173" s="15"/>
      <c r="S173" s="15"/>
      <c r="T173" s="15"/>
      <c r="U173" s="15"/>
      <c r="V173" s="15"/>
      <c r="W173" s="15">
        <v>2</v>
      </c>
      <c r="X173" s="26">
        <v>0.2</v>
      </c>
      <c r="Y173" s="15"/>
      <c r="Z173" s="15"/>
      <c r="AA173" s="15"/>
      <c r="AB173" s="15"/>
      <c r="AC173" s="15"/>
      <c r="AD173" s="15">
        <v>3.5</v>
      </c>
      <c r="AE173" s="15"/>
      <c r="AF173" s="15"/>
      <c r="AG173" s="15"/>
      <c r="AH173" s="25">
        <v>7</v>
      </c>
      <c r="AI173" s="15"/>
      <c r="AJ173" s="15">
        <v>0.3</v>
      </c>
      <c r="AK173" s="15"/>
      <c r="AL173" s="15">
        <v>2</v>
      </c>
      <c r="AM173" s="15">
        <v>1</v>
      </c>
      <c r="AN173" s="15"/>
      <c r="AO173" s="15"/>
    </row>
    <row r="174" spans="1:41">
      <c r="A174" s="89"/>
      <c r="B174" s="91"/>
      <c r="C174">
        <v>1970</v>
      </c>
      <c r="D174" t="s">
        <v>805</v>
      </c>
      <c r="E174" t="s">
        <v>806</v>
      </c>
      <c r="G174" t="s">
        <v>807</v>
      </c>
      <c r="H174" t="s">
        <v>808</v>
      </c>
      <c r="I174" s="28">
        <f>I173+7.5%</f>
        <v>2.4999999999999994E-2</v>
      </c>
      <c r="O174">
        <f>O173+0.5</f>
        <v>3.5</v>
      </c>
      <c r="Q174">
        <f t="shared" ref="Q174:Q176" si="52">Q173+0.5</f>
        <v>3.5</v>
      </c>
      <c r="W174">
        <v>2</v>
      </c>
      <c r="X174" s="27">
        <f t="shared" ref="X174:X176" si="53">X173+2%</f>
        <v>0.22</v>
      </c>
      <c r="AD174">
        <f t="shared" ref="AD174:AD176" si="54">AD173-0.1</f>
        <v>3.4</v>
      </c>
      <c r="AE174" s="27">
        <f>AE173-4%</f>
        <v>-0.04</v>
      </c>
      <c r="AH174" s="24">
        <f t="shared" ref="AH174:AH176" si="55">AH173+0.3</f>
        <v>7.3</v>
      </c>
      <c r="AJ174">
        <f t="shared" ref="AJ174:AJ176" si="56">AJ173+0.05</f>
        <v>0.35</v>
      </c>
      <c r="AL174">
        <v>2</v>
      </c>
      <c r="AM174">
        <v>1</v>
      </c>
    </row>
    <row r="175" spans="1:41">
      <c r="A175" s="89"/>
      <c r="B175" s="91"/>
      <c r="C175">
        <v>1980</v>
      </c>
      <c r="D175" t="s">
        <v>809</v>
      </c>
      <c r="E175" t="s">
        <v>810</v>
      </c>
      <c r="G175" t="s">
        <v>811</v>
      </c>
      <c r="H175" t="s">
        <v>812</v>
      </c>
      <c r="I175" s="27">
        <f>I174+7.5%</f>
        <v>9.9999999999999992E-2</v>
      </c>
      <c r="O175">
        <f t="shared" ref="O175:O176" si="57">O174+0.5</f>
        <v>4</v>
      </c>
      <c r="Q175">
        <f t="shared" si="52"/>
        <v>4</v>
      </c>
      <c r="W175">
        <v>2</v>
      </c>
      <c r="X175" s="27">
        <f t="shared" si="53"/>
        <v>0.24</v>
      </c>
      <c r="AD175">
        <f t="shared" si="54"/>
        <v>3.3</v>
      </c>
      <c r="AE175" s="27">
        <f t="shared" ref="AE175:AE176" si="58">AE174-4%</f>
        <v>-0.08</v>
      </c>
      <c r="AH175" s="24">
        <f t="shared" si="55"/>
        <v>7.6</v>
      </c>
      <c r="AJ175">
        <f t="shared" si="56"/>
        <v>0.39999999999999997</v>
      </c>
      <c r="AL175">
        <v>2</v>
      </c>
      <c r="AM175">
        <v>1</v>
      </c>
    </row>
    <row r="176" spans="1:41">
      <c r="A176" s="89"/>
      <c r="B176" s="91"/>
      <c r="C176">
        <v>2000</v>
      </c>
      <c r="D176" t="s">
        <v>813</v>
      </c>
      <c r="E176" t="s">
        <v>814</v>
      </c>
      <c r="G176" t="s">
        <v>815</v>
      </c>
      <c r="H176" t="s">
        <v>816</v>
      </c>
      <c r="I176" s="28">
        <f>I175+7.5%</f>
        <v>0.17499999999999999</v>
      </c>
      <c r="O176">
        <f t="shared" si="57"/>
        <v>4.5</v>
      </c>
      <c r="Q176">
        <f t="shared" si="52"/>
        <v>4.5</v>
      </c>
      <c r="W176">
        <v>2</v>
      </c>
      <c r="X176" s="27">
        <f t="shared" si="53"/>
        <v>0.26</v>
      </c>
      <c r="AD176">
        <f t="shared" si="54"/>
        <v>3.1999999999999997</v>
      </c>
      <c r="AE176" s="27">
        <f t="shared" si="58"/>
        <v>-0.12</v>
      </c>
      <c r="AH176" s="24">
        <f t="shared" si="55"/>
        <v>7.8999999999999995</v>
      </c>
      <c r="AJ176">
        <f t="shared" si="56"/>
        <v>0.44999999999999996</v>
      </c>
      <c r="AL176">
        <v>2</v>
      </c>
      <c r="AM176">
        <v>2</v>
      </c>
    </row>
    <row r="177" spans="1:41">
      <c r="A177" s="89"/>
      <c r="B177" s="56"/>
      <c r="AE177" s="27"/>
    </row>
    <row r="178" spans="1:41">
      <c r="A178" s="89"/>
      <c r="B178" s="91" t="s">
        <v>817</v>
      </c>
      <c r="C178" s="15">
        <v>1939</v>
      </c>
      <c r="D178" s="15" t="s">
        <v>818</v>
      </c>
      <c r="E178" s="15" t="s">
        <v>764</v>
      </c>
      <c r="F178" s="15"/>
      <c r="G178" s="15" t="s">
        <v>765</v>
      </c>
      <c r="H178" s="15" t="s">
        <v>819</v>
      </c>
      <c r="I178" s="26">
        <v>0.01</v>
      </c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26">
        <v>-0.05</v>
      </c>
      <c r="AF178" s="15"/>
      <c r="AG178" s="15"/>
      <c r="AH178" s="25">
        <v>0.25</v>
      </c>
      <c r="AI178" s="15"/>
      <c r="AJ178" s="15">
        <v>0.1</v>
      </c>
      <c r="AK178" s="15"/>
      <c r="AL178" s="15"/>
      <c r="AM178" s="15"/>
      <c r="AN178" s="15"/>
      <c r="AO178" s="15"/>
    </row>
    <row r="179" spans="1:41">
      <c r="A179" s="89"/>
      <c r="B179" s="91"/>
      <c r="C179">
        <v>1950</v>
      </c>
      <c r="D179" t="s">
        <v>820</v>
      </c>
      <c r="E179" t="s">
        <v>768</v>
      </c>
      <c r="G179" t="s">
        <v>769</v>
      </c>
      <c r="H179" t="s">
        <v>821</v>
      </c>
      <c r="I179" s="28">
        <f>I178+0.5%</f>
        <v>1.4999999999999999E-2</v>
      </c>
      <c r="AE179" s="28">
        <f>AE178-2.5%</f>
        <v>-7.5000000000000011E-2</v>
      </c>
      <c r="AH179" s="24">
        <f>AH178+0.25</f>
        <v>0.5</v>
      </c>
      <c r="AJ179">
        <f>AJ178+0.05</f>
        <v>0.15000000000000002</v>
      </c>
    </row>
    <row r="180" spans="1:41">
      <c r="A180" s="89"/>
      <c r="B180" s="91"/>
      <c r="C180">
        <v>1960</v>
      </c>
      <c r="D180" t="s">
        <v>822</v>
      </c>
      <c r="E180" t="s">
        <v>772</v>
      </c>
      <c r="G180" t="s">
        <v>773</v>
      </c>
      <c r="H180" t="s">
        <v>823</v>
      </c>
      <c r="I180" s="27">
        <f t="shared" ref="I180:I183" si="59">I179+0.5%</f>
        <v>0.02</v>
      </c>
      <c r="AE180" s="27">
        <f t="shared" ref="AE180:AE183" si="60">AE179-2.5%</f>
        <v>-0.1</v>
      </c>
      <c r="AH180" s="24">
        <f t="shared" ref="AH180:AH183" si="61">AH179+0.25</f>
        <v>0.75</v>
      </c>
      <c r="AJ180">
        <f t="shared" ref="AJ180:AJ184" si="62">AJ179+0.05</f>
        <v>0.2</v>
      </c>
    </row>
    <row r="181" spans="1:41">
      <c r="A181" s="89"/>
      <c r="B181" s="91"/>
      <c r="C181">
        <v>1970</v>
      </c>
      <c r="D181" t="s">
        <v>824</v>
      </c>
      <c r="E181" t="s">
        <v>776</v>
      </c>
      <c r="G181" t="s">
        <v>777</v>
      </c>
      <c r="H181" t="s">
        <v>825</v>
      </c>
      <c r="I181" s="28">
        <f t="shared" si="59"/>
        <v>2.5000000000000001E-2</v>
      </c>
      <c r="AE181" s="28">
        <f t="shared" si="60"/>
        <v>-0.125</v>
      </c>
      <c r="AH181" s="24">
        <f t="shared" si="61"/>
        <v>1</v>
      </c>
      <c r="AJ181">
        <f t="shared" si="62"/>
        <v>0.25</v>
      </c>
    </row>
    <row r="182" spans="1:41">
      <c r="A182" s="89"/>
      <c r="B182" s="91"/>
      <c r="C182">
        <v>1980</v>
      </c>
      <c r="D182" t="s">
        <v>826</v>
      </c>
      <c r="E182" t="s">
        <v>780</v>
      </c>
      <c r="G182" t="s">
        <v>781</v>
      </c>
      <c r="H182" t="s">
        <v>827</v>
      </c>
      <c r="I182" s="27">
        <f t="shared" si="59"/>
        <v>3.0000000000000002E-2</v>
      </c>
      <c r="O182">
        <v>1</v>
      </c>
      <c r="Q182">
        <v>2</v>
      </c>
      <c r="AE182" s="27">
        <f t="shared" si="60"/>
        <v>-0.15</v>
      </c>
      <c r="AH182" s="24">
        <f t="shared" si="61"/>
        <v>1.25</v>
      </c>
      <c r="AJ182">
        <f t="shared" si="62"/>
        <v>0.3</v>
      </c>
    </row>
    <row r="183" spans="1:41">
      <c r="A183" s="89"/>
      <c r="B183" s="91"/>
      <c r="C183">
        <v>2000</v>
      </c>
      <c r="D183" t="s">
        <v>828</v>
      </c>
      <c r="E183" t="s">
        <v>784</v>
      </c>
      <c r="G183" t="s">
        <v>785</v>
      </c>
      <c r="H183" t="s">
        <v>829</v>
      </c>
      <c r="I183" s="28">
        <f t="shared" si="59"/>
        <v>3.5000000000000003E-2</v>
      </c>
      <c r="O183">
        <f>O182+1</f>
        <v>2</v>
      </c>
      <c r="Q183">
        <f>Q182+1</f>
        <v>3</v>
      </c>
      <c r="AE183" s="28">
        <f t="shared" si="60"/>
        <v>-0.17499999999999999</v>
      </c>
      <c r="AH183" s="24">
        <f t="shared" si="61"/>
        <v>1.5</v>
      </c>
      <c r="AJ183">
        <f t="shared" si="62"/>
        <v>0.35</v>
      </c>
    </row>
    <row r="184" spans="1:41">
      <c r="A184" s="89"/>
      <c r="B184" s="91"/>
      <c r="C184">
        <v>2020</v>
      </c>
      <c r="D184" t="s">
        <v>830</v>
      </c>
      <c r="E184" t="s">
        <v>788</v>
      </c>
      <c r="G184" t="s">
        <v>789</v>
      </c>
      <c r="H184" t="s">
        <v>831</v>
      </c>
      <c r="I184" s="27">
        <f>I183+2.5%</f>
        <v>6.0000000000000005E-2</v>
      </c>
      <c r="O184">
        <v>4</v>
      </c>
      <c r="Q184">
        <v>4</v>
      </c>
      <c r="AE184" s="27">
        <f>AE183-12.5%</f>
        <v>-0.3</v>
      </c>
      <c r="AH184" s="24">
        <v>4</v>
      </c>
      <c r="AJ184">
        <f t="shared" si="62"/>
        <v>0.39999999999999997</v>
      </c>
      <c r="AM184">
        <v>1</v>
      </c>
      <c r="AN184">
        <v>1</v>
      </c>
    </row>
    <row r="185" spans="1:41">
      <c r="A185" s="89"/>
      <c r="B185" s="56"/>
    </row>
    <row r="186" spans="1:41">
      <c r="A186" s="89"/>
      <c r="B186" s="91" t="s">
        <v>832</v>
      </c>
      <c r="C186" s="15">
        <v>1960</v>
      </c>
      <c r="D186" s="15" t="s">
        <v>833</v>
      </c>
      <c r="E186" s="15" t="s">
        <v>802</v>
      </c>
      <c r="F186" s="15"/>
      <c r="G186" s="15" t="s">
        <v>803</v>
      </c>
      <c r="H186" s="15" t="s">
        <v>834</v>
      </c>
      <c r="I186" s="26">
        <v>0.03</v>
      </c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26">
        <v>-0.2</v>
      </c>
      <c r="AF186" s="15"/>
      <c r="AG186" s="15"/>
      <c r="AH186" s="25">
        <v>1.5</v>
      </c>
      <c r="AI186" s="15"/>
      <c r="AJ186" s="15">
        <v>0.2</v>
      </c>
      <c r="AK186" s="15"/>
      <c r="AL186" s="15"/>
      <c r="AM186" s="15"/>
      <c r="AN186" s="15"/>
      <c r="AO186" s="15"/>
    </row>
    <row r="187" spans="1:41">
      <c r="A187" s="89"/>
      <c r="B187" s="91"/>
      <c r="C187">
        <v>1970</v>
      </c>
      <c r="D187" t="s">
        <v>835</v>
      </c>
      <c r="E187" t="s">
        <v>806</v>
      </c>
      <c r="G187" t="s">
        <v>807</v>
      </c>
      <c r="H187" t="s">
        <v>836</v>
      </c>
      <c r="I187" s="28">
        <f>I186+0.5%</f>
        <v>3.4999999999999996E-2</v>
      </c>
      <c r="AE187" s="28">
        <f t="shared" ref="AE187:AE189" si="63">AE186-2.5%</f>
        <v>-0.22500000000000001</v>
      </c>
      <c r="AH187" s="24">
        <f>AH186+0.5</f>
        <v>2</v>
      </c>
      <c r="AJ187">
        <f t="shared" ref="AJ187:AJ189" si="64">AJ186+0.05</f>
        <v>0.25</v>
      </c>
    </row>
    <row r="188" spans="1:41">
      <c r="A188" s="89"/>
      <c r="B188" s="91"/>
      <c r="C188">
        <v>1980</v>
      </c>
      <c r="D188" t="s">
        <v>837</v>
      </c>
      <c r="E188" t="s">
        <v>810</v>
      </c>
      <c r="G188" t="s">
        <v>811</v>
      </c>
      <c r="H188" t="s">
        <v>838</v>
      </c>
      <c r="I188" s="27">
        <f>I187+0.5%</f>
        <v>3.9999999999999994E-2</v>
      </c>
      <c r="O188">
        <v>2</v>
      </c>
      <c r="Q188">
        <v>1</v>
      </c>
      <c r="AE188" s="28">
        <f t="shared" si="63"/>
        <v>-0.25</v>
      </c>
      <c r="AH188" s="24">
        <f t="shared" ref="AH188:AH189" si="65">AH187+0.5</f>
        <v>2.5</v>
      </c>
      <c r="AJ188">
        <f t="shared" si="64"/>
        <v>0.3</v>
      </c>
    </row>
    <row r="189" spans="1:41">
      <c r="A189" s="89"/>
      <c r="B189" s="91"/>
      <c r="C189">
        <v>2000</v>
      </c>
      <c r="D189" t="s">
        <v>839</v>
      </c>
      <c r="E189" t="s">
        <v>814</v>
      </c>
      <c r="G189" t="s">
        <v>815</v>
      </c>
      <c r="H189" t="s">
        <v>840</v>
      </c>
      <c r="I189" s="28">
        <f>I188+0.5%</f>
        <v>4.4999999999999991E-2</v>
      </c>
      <c r="O189">
        <f>O188+1</f>
        <v>3</v>
      </c>
      <c r="Q189">
        <f>Q188+1</f>
        <v>2</v>
      </c>
      <c r="AE189" s="28">
        <f t="shared" si="63"/>
        <v>-0.27500000000000002</v>
      </c>
      <c r="AH189" s="24">
        <f t="shared" si="65"/>
        <v>3</v>
      </c>
      <c r="AJ189">
        <f t="shared" si="64"/>
        <v>0.35</v>
      </c>
    </row>
    <row r="190" spans="1:41">
      <c r="A190" s="89"/>
      <c r="B190" s="56"/>
    </row>
    <row r="191" spans="1:41">
      <c r="A191" s="89"/>
      <c r="B191" s="91" t="s">
        <v>841</v>
      </c>
      <c r="C191" s="15">
        <v>1939</v>
      </c>
      <c r="D191" s="15" t="s">
        <v>842</v>
      </c>
      <c r="E191" s="15" t="s">
        <v>525</v>
      </c>
      <c r="F191" s="15"/>
      <c r="G191" s="15" t="s">
        <v>525</v>
      </c>
      <c r="H191" s="15" t="s">
        <v>843</v>
      </c>
      <c r="I191" s="15"/>
      <c r="J191" s="26">
        <v>-0.3</v>
      </c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26">
        <v>-0.05</v>
      </c>
      <c r="Y191" s="15"/>
      <c r="Z191" s="15"/>
      <c r="AA191" s="15"/>
      <c r="AB191" s="15"/>
      <c r="AC191" s="15"/>
      <c r="AD191" s="15"/>
      <c r="AE191" s="26">
        <v>0.1</v>
      </c>
      <c r="AF191" s="15"/>
      <c r="AG191" s="15"/>
      <c r="AH191" s="25">
        <v>-0.5</v>
      </c>
      <c r="AI191" s="26">
        <v>-0.1</v>
      </c>
      <c r="AJ191">
        <v>0.1</v>
      </c>
      <c r="AL191" s="15"/>
      <c r="AM191" s="15"/>
      <c r="AN191" s="15"/>
      <c r="AO191" s="15"/>
    </row>
    <row r="192" spans="1:41">
      <c r="A192" s="89"/>
      <c r="B192" s="91"/>
      <c r="C192">
        <v>1939</v>
      </c>
      <c r="D192" t="s">
        <v>844</v>
      </c>
      <c r="E192" t="s">
        <v>525</v>
      </c>
      <c r="G192" t="s">
        <v>525</v>
      </c>
      <c r="H192" t="s">
        <v>845</v>
      </c>
      <c r="J192" s="27">
        <f>J191+10%</f>
        <v>-0.19999999999999998</v>
      </c>
      <c r="O192">
        <v>0.5</v>
      </c>
      <c r="Q192">
        <v>0.5</v>
      </c>
      <c r="X192" s="27">
        <v>0.05</v>
      </c>
      <c r="AE192" s="27">
        <f>AE191-5%</f>
        <v>0.05</v>
      </c>
      <c r="AH192" s="24"/>
      <c r="AJ192">
        <v>0.15</v>
      </c>
    </row>
    <row r="193" spans="1:41">
      <c r="A193" s="89"/>
      <c r="B193" s="91"/>
      <c r="C193">
        <v>1939</v>
      </c>
      <c r="D193" t="s">
        <v>846</v>
      </c>
      <c r="E193" t="s">
        <v>525</v>
      </c>
      <c r="G193" t="s">
        <v>525</v>
      </c>
      <c r="H193" t="s">
        <v>847</v>
      </c>
      <c r="J193" s="27">
        <f>J192+10%</f>
        <v>-9.9999999999999978E-2</v>
      </c>
      <c r="O193">
        <v>1</v>
      </c>
      <c r="Q193">
        <v>1</v>
      </c>
      <c r="X193" s="27">
        <v>0.15</v>
      </c>
      <c r="AH193" s="24">
        <f>AH192+0.5</f>
        <v>0.5</v>
      </c>
      <c r="AJ193">
        <v>0.2</v>
      </c>
    </row>
    <row r="194" spans="1:41">
      <c r="A194" s="89"/>
      <c r="B194" s="91"/>
      <c r="C194">
        <v>1939</v>
      </c>
      <c r="D194" t="s">
        <v>848</v>
      </c>
      <c r="E194" t="s">
        <v>525</v>
      </c>
      <c r="G194" t="s">
        <v>525</v>
      </c>
      <c r="H194" t="s">
        <v>849</v>
      </c>
      <c r="I194" s="27">
        <v>-0.1</v>
      </c>
      <c r="J194" s="27">
        <f>J191+10%</f>
        <v>-0.19999999999999998</v>
      </c>
      <c r="O194">
        <v>1</v>
      </c>
      <c r="X194" s="27">
        <v>-0.05</v>
      </c>
      <c r="AE194" s="27">
        <f>AE191-5%</f>
        <v>0.05</v>
      </c>
      <c r="AH194" s="24">
        <f>AH191+1.1</f>
        <v>0.60000000000000009</v>
      </c>
      <c r="AJ194">
        <v>0.2</v>
      </c>
    </row>
    <row r="195" spans="1:41">
      <c r="A195" s="89"/>
      <c r="B195" s="91"/>
      <c r="C195">
        <v>1939</v>
      </c>
      <c r="D195" t="s">
        <v>850</v>
      </c>
      <c r="E195" t="s">
        <v>525</v>
      </c>
      <c r="G195" t="s">
        <v>525</v>
      </c>
      <c r="H195" t="s">
        <v>851</v>
      </c>
      <c r="I195" s="27"/>
      <c r="O195">
        <v>1</v>
      </c>
      <c r="Q195">
        <v>2</v>
      </c>
      <c r="X195" s="27">
        <v>-0.15</v>
      </c>
      <c r="AE195" s="28">
        <f>AE191-2.5%</f>
        <v>7.5000000000000011E-2</v>
      </c>
      <c r="AH195" s="24">
        <f>AH191+1.2</f>
        <v>0.7</v>
      </c>
      <c r="AJ195">
        <v>0.2</v>
      </c>
      <c r="AL195">
        <v>1</v>
      </c>
    </row>
    <row r="196" spans="1:41">
      <c r="A196" s="89"/>
      <c r="B196" s="91"/>
      <c r="C196">
        <v>1939</v>
      </c>
      <c r="D196" t="s">
        <v>852</v>
      </c>
      <c r="E196" t="s">
        <v>525</v>
      </c>
      <c r="G196" t="s">
        <v>525</v>
      </c>
      <c r="H196" t="s">
        <v>853</v>
      </c>
      <c r="I196" s="28">
        <v>-7.4999999999999997E-2</v>
      </c>
      <c r="O196">
        <v>3</v>
      </c>
      <c r="Q196">
        <v>1</v>
      </c>
      <c r="X196" s="27">
        <v>0.1</v>
      </c>
      <c r="AH196" s="24">
        <f>AH191+1.5</f>
        <v>1</v>
      </c>
      <c r="AJ196">
        <v>1</v>
      </c>
      <c r="AL196">
        <v>1</v>
      </c>
    </row>
    <row r="197" spans="1:41">
      <c r="A197" s="89"/>
      <c r="B197" s="91"/>
      <c r="C197">
        <v>1939</v>
      </c>
      <c r="D197" t="s">
        <v>854</v>
      </c>
      <c r="E197" t="s">
        <v>525</v>
      </c>
      <c r="G197" t="s">
        <v>525</v>
      </c>
      <c r="H197" t="s">
        <v>855</v>
      </c>
      <c r="I197" s="27">
        <v>0.05</v>
      </c>
      <c r="O197">
        <v>2</v>
      </c>
      <c r="Q197">
        <v>3</v>
      </c>
      <c r="X197" s="28">
        <v>-7.4999999999999997E-2</v>
      </c>
      <c r="AE197" s="27">
        <f>AE194</f>
        <v>0.05</v>
      </c>
      <c r="AH197" s="24">
        <f>AH191+1.5</f>
        <v>1</v>
      </c>
      <c r="AJ197">
        <v>0.2</v>
      </c>
      <c r="AL197">
        <v>1</v>
      </c>
    </row>
    <row r="198" spans="1:41">
      <c r="A198" s="89"/>
      <c r="B198" s="91"/>
      <c r="C198">
        <v>1939</v>
      </c>
      <c r="D198" t="s">
        <v>856</v>
      </c>
      <c r="E198" t="s">
        <v>525</v>
      </c>
      <c r="G198" t="s">
        <v>525</v>
      </c>
      <c r="H198" t="s">
        <v>857</v>
      </c>
      <c r="I198" s="27">
        <v>0.1</v>
      </c>
      <c r="O198">
        <v>3</v>
      </c>
      <c r="Q198">
        <v>3</v>
      </c>
      <c r="AH198" s="24">
        <f>AH191+2</f>
        <v>1.5</v>
      </c>
      <c r="AJ198">
        <v>0.5</v>
      </c>
      <c r="AL198">
        <v>2</v>
      </c>
    </row>
    <row r="199" spans="1:41">
      <c r="A199" s="89"/>
      <c r="B199" s="56"/>
    </row>
    <row r="200" spans="1:41">
      <c r="A200" s="89"/>
      <c r="B200" s="91" t="s">
        <v>858</v>
      </c>
      <c r="C200" s="15">
        <v>1942</v>
      </c>
      <c r="D200" s="15" t="s">
        <v>859</v>
      </c>
      <c r="E200" s="15" t="s">
        <v>860</v>
      </c>
      <c r="F200" s="15"/>
      <c r="G200" s="15" t="s">
        <v>860</v>
      </c>
      <c r="H200" s="15" t="s">
        <v>861</v>
      </c>
      <c r="I200" s="39">
        <f>I195+2.5%</f>
        <v>2.5000000000000001E-2</v>
      </c>
      <c r="J200" s="15"/>
      <c r="K200" s="15"/>
      <c r="L200" s="15"/>
      <c r="M200" s="15"/>
      <c r="N200" s="15"/>
      <c r="O200" s="15">
        <f>O195+0.5</f>
        <v>1.5</v>
      </c>
      <c r="P200" s="15"/>
      <c r="Q200" s="15">
        <f>Q195+0.5</f>
        <v>2.5</v>
      </c>
      <c r="R200" s="15"/>
      <c r="S200" s="15"/>
      <c r="T200" s="15"/>
      <c r="U200" s="15"/>
      <c r="V200" s="15"/>
      <c r="W200" s="15"/>
      <c r="X200" s="39">
        <f>X195+2.5%</f>
        <v>-0.125</v>
      </c>
      <c r="Y200" s="15"/>
      <c r="Z200" s="15"/>
      <c r="AA200" s="15"/>
      <c r="AB200" s="15"/>
      <c r="AC200" s="15"/>
      <c r="AD200" s="15"/>
      <c r="AE200" s="39">
        <f>AE195</f>
        <v>7.5000000000000011E-2</v>
      </c>
      <c r="AF200" s="15"/>
      <c r="AG200" s="15"/>
      <c r="AH200" s="25">
        <f>AH195+0.3</f>
        <v>1</v>
      </c>
      <c r="AI200" s="15"/>
      <c r="AJ200" s="15">
        <f>AJ195+0.1</f>
        <v>0.30000000000000004</v>
      </c>
      <c r="AK200" s="15"/>
      <c r="AL200" s="15">
        <v>1</v>
      </c>
      <c r="AM200" s="15"/>
      <c r="AN200" s="15"/>
      <c r="AO200" s="15"/>
    </row>
    <row r="201" spans="1:41">
      <c r="A201" s="89"/>
      <c r="B201" s="91"/>
      <c r="C201">
        <v>1942</v>
      </c>
      <c r="D201" t="s">
        <v>862</v>
      </c>
      <c r="E201" t="s">
        <v>860</v>
      </c>
      <c r="G201" t="s">
        <v>860</v>
      </c>
      <c r="H201" t="s">
        <v>863</v>
      </c>
      <c r="I201" s="27">
        <f>I196+2.5%</f>
        <v>-4.9999999999999996E-2</v>
      </c>
      <c r="O201">
        <f>O196+0.5</f>
        <v>3.5</v>
      </c>
      <c r="Q201">
        <f>Q196+0.5</f>
        <v>1.5</v>
      </c>
      <c r="X201" s="28">
        <f>X196+2.5%</f>
        <v>0.125</v>
      </c>
      <c r="AH201" s="24">
        <f>AH196+0.3</f>
        <v>1.3</v>
      </c>
      <c r="AJ201">
        <f>AJ196+0.1</f>
        <v>1.1000000000000001</v>
      </c>
      <c r="AL201">
        <v>1</v>
      </c>
    </row>
    <row r="202" spans="1:41">
      <c r="A202" s="89"/>
      <c r="B202" s="91"/>
      <c r="C202">
        <v>1942</v>
      </c>
      <c r="D202" t="s">
        <v>864</v>
      </c>
      <c r="E202" t="s">
        <v>860</v>
      </c>
      <c r="G202" t="s">
        <v>860</v>
      </c>
      <c r="H202" t="s">
        <v>865</v>
      </c>
      <c r="I202" s="28">
        <f>I197+2.5%</f>
        <v>7.5000000000000011E-2</v>
      </c>
      <c r="O202">
        <f>O197+0.5</f>
        <v>2.5</v>
      </c>
      <c r="Q202">
        <f>Q197+0.5</f>
        <v>3.5</v>
      </c>
      <c r="X202" s="27">
        <f>X197+2.5%</f>
        <v>-4.9999999999999996E-2</v>
      </c>
      <c r="AE202" s="27">
        <f>AE197</f>
        <v>0.05</v>
      </c>
      <c r="AH202" s="24">
        <f>AH197+0.3</f>
        <v>1.3</v>
      </c>
      <c r="AJ202">
        <f>AJ197+0.1</f>
        <v>0.30000000000000004</v>
      </c>
      <c r="AL202">
        <v>1</v>
      </c>
    </row>
    <row r="203" spans="1:41">
      <c r="A203" s="89"/>
      <c r="B203" s="91"/>
      <c r="C203">
        <v>1942</v>
      </c>
      <c r="D203" t="s">
        <v>866</v>
      </c>
      <c r="E203" t="s">
        <v>860</v>
      </c>
      <c r="G203" t="s">
        <v>860</v>
      </c>
      <c r="H203" t="s">
        <v>867</v>
      </c>
      <c r="I203" s="28">
        <f>I198+2.5%</f>
        <v>0.125</v>
      </c>
      <c r="O203">
        <f>O198+0.5</f>
        <v>3.5</v>
      </c>
      <c r="Q203">
        <f>Q198+0.5</f>
        <v>3.5</v>
      </c>
      <c r="X203" s="28">
        <f>X198+2.5%</f>
        <v>2.5000000000000001E-2</v>
      </c>
      <c r="AH203" s="24">
        <f>AH198+0.3</f>
        <v>1.8</v>
      </c>
      <c r="AJ203">
        <f>AJ198+0.1</f>
        <v>0.6</v>
      </c>
      <c r="AL203">
        <v>1</v>
      </c>
    </row>
    <row r="204" spans="1:41">
      <c r="A204" s="89"/>
      <c r="B204" s="91"/>
      <c r="C204">
        <v>1942</v>
      </c>
      <c r="D204" t="s">
        <v>868</v>
      </c>
      <c r="E204" t="s">
        <v>860</v>
      </c>
      <c r="G204" t="s">
        <v>860</v>
      </c>
      <c r="H204" t="s">
        <v>869</v>
      </c>
      <c r="I204" s="28">
        <v>7.4999999999999997E-2</v>
      </c>
      <c r="O204">
        <v>5</v>
      </c>
      <c r="Q204">
        <v>5</v>
      </c>
      <c r="X204" s="27">
        <v>0.05</v>
      </c>
      <c r="AG204" s="27">
        <v>0.05</v>
      </c>
      <c r="AH204" s="24">
        <v>3.5</v>
      </c>
      <c r="AJ204">
        <v>0.5</v>
      </c>
      <c r="AL204">
        <v>1</v>
      </c>
      <c r="AM204">
        <v>1</v>
      </c>
    </row>
    <row r="205" spans="1:41">
      <c r="A205" s="89"/>
      <c r="B205" s="91"/>
      <c r="C205">
        <v>1960</v>
      </c>
      <c r="D205" t="s">
        <v>870</v>
      </c>
      <c r="E205" t="s">
        <v>871</v>
      </c>
      <c r="G205" t="s">
        <v>871</v>
      </c>
      <c r="H205" t="s">
        <v>872</v>
      </c>
      <c r="I205" s="28">
        <f>I204</f>
        <v>7.4999999999999997E-2</v>
      </c>
      <c r="O205">
        <v>7</v>
      </c>
      <c r="P205" s="27">
        <v>0.05</v>
      </c>
      <c r="Q205">
        <v>7</v>
      </c>
      <c r="R205" s="27">
        <v>0.05</v>
      </c>
      <c r="X205" s="27">
        <v>0.05</v>
      </c>
      <c r="AD205">
        <v>0.2</v>
      </c>
      <c r="AG205" s="28">
        <f>AG204+2.5%</f>
        <v>7.5000000000000011E-2</v>
      </c>
      <c r="AH205" s="24">
        <f>AH204+1</f>
        <v>4.5</v>
      </c>
      <c r="AJ205">
        <f>AJ204+0.2</f>
        <v>0.7</v>
      </c>
      <c r="AL205">
        <v>1</v>
      </c>
      <c r="AM205">
        <v>1</v>
      </c>
    </row>
    <row r="206" spans="1:41">
      <c r="A206" s="89"/>
      <c r="B206" s="91"/>
      <c r="C206">
        <v>2010</v>
      </c>
      <c r="D206" t="s">
        <v>873</v>
      </c>
      <c r="E206" t="s">
        <v>874</v>
      </c>
      <c r="G206" t="s">
        <v>874</v>
      </c>
      <c r="H206" t="s">
        <v>875</v>
      </c>
      <c r="I206" s="28">
        <f>I205</f>
        <v>7.4999999999999997E-2</v>
      </c>
      <c r="O206">
        <v>9</v>
      </c>
      <c r="P206" s="28">
        <f>P205+2.5%</f>
        <v>7.5000000000000011E-2</v>
      </c>
      <c r="Q206">
        <v>9</v>
      </c>
      <c r="R206" s="28">
        <f>R205+2.5%</f>
        <v>7.5000000000000011E-2</v>
      </c>
      <c r="X206" s="27">
        <v>0.15</v>
      </c>
      <c r="AD206">
        <v>0.4</v>
      </c>
      <c r="AE206" s="27">
        <v>-0.05</v>
      </c>
      <c r="AG206" s="27">
        <f>AG205+2.5%</f>
        <v>0.1</v>
      </c>
      <c r="AH206" s="24">
        <f>AH205+2</f>
        <v>6.5</v>
      </c>
      <c r="AJ206">
        <f>AJ205+0.2</f>
        <v>0.89999999999999991</v>
      </c>
      <c r="AL206">
        <v>1</v>
      </c>
      <c r="AM206">
        <v>1</v>
      </c>
      <c r="AN206">
        <v>1</v>
      </c>
    </row>
    <row r="207" spans="1:41">
      <c r="A207" s="55"/>
    </row>
    <row r="208" spans="1:41">
      <c r="A208" s="55"/>
    </row>
    <row r="209" spans="1:41">
      <c r="A209" s="77" t="s">
        <v>471</v>
      </c>
      <c r="B209" s="77" t="s">
        <v>2</v>
      </c>
      <c r="C209" s="77" t="s">
        <v>3</v>
      </c>
      <c r="D209" s="77" t="s">
        <v>472</v>
      </c>
      <c r="E209" s="77" t="s">
        <v>473</v>
      </c>
      <c r="F209" s="86" t="s">
        <v>240</v>
      </c>
      <c r="G209" s="87"/>
      <c r="H209" s="77" t="s">
        <v>474</v>
      </c>
      <c r="I209" s="79" t="s">
        <v>121</v>
      </c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1"/>
      <c r="AK209" s="82" t="s">
        <v>241</v>
      </c>
      <c r="AL209" s="83"/>
      <c r="AM209" s="83"/>
      <c r="AN209" s="83"/>
      <c r="AO209" s="84"/>
    </row>
    <row r="210" spans="1:41">
      <c r="A210" s="78"/>
      <c r="B210" s="78"/>
      <c r="C210" s="78"/>
      <c r="D210" s="78"/>
      <c r="E210" s="78"/>
      <c r="F210" s="68" t="s">
        <v>477</v>
      </c>
      <c r="G210" s="68" t="s">
        <v>243</v>
      </c>
      <c r="H210" s="78"/>
      <c r="I210" s="46" t="s">
        <v>244</v>
      </c>
      <c r="J210" s="46" t="s">
        <v>245</v>
      </c>
      <c r="K210" s="46" t="s">
        <v>124</v>
      </c>
      <c r="L210" s="46" t="s">
        <v>246</v>
      </c>
      <c r="M210" s="46" t="s">
        <v>125</v>
      </c>
      <c r="N210" s="46" t="s">
        <v>247</v>
      </c>
      <c r="O210" s="46" t="s">
        <v>248</v>
      </c>
      <c r="P210" s="46" t="s">
        <v>249</v>
      </c>
      <c r="Q210" s="46" t="s">
        <v>250</v>
      </c>
      <c r="R210" s="46" t="s">
        <v>251</v>
      </c>
      <c r="S210" s="46" t="s">
        <v>8</v>
      </c>
      <c r="T210" s="46" t="s">
        <v>253</v>
      </c>
      <c r="U210" s="46" t="s">
        <v>126</v>
      </c>
      <c r="V210" s="46" t="s">
        <v>478</v>
      </c>
      <c r="W210" s="46" t="s">
        <v>127</v>
      </c>
      <c r="X210" s="46" t="s">
        <v>252</v>
      </c>
      <c r="Y210" s="46" t="s">
        <v>112</v>
      </c>
      <c r="Z210" s="46" t="s">
        <v>343</v>
      </c>
      <c r="AA210" s="53" t="s">
        <v>479</v>
      </c>
      <c r="AB210" s="46" t="s">
        <v>254</v>
      </c>
      <c r="AC210" s="46" t="s">
        <v>255</v>
      </c>
      <c r="AD210" s="46" t="s">
        <v>256</v>
      </c>
      <c r="AE210" s="46" t="s">
        <v>257</v>
      </c>
      <c r="AF210" s="46" t="s">
        <v>480</v>
      </c>
      <c r="AG210" s="46" t="s">
        <v>481</v>
      </c>
      <c r="AH210" s="47" t="s">
        <v>9</v>
      </c>
      <c r="AI210" s="46" t="s">
        <v>258</v>
      </c>
      <c r="AJ210" s="46" t="s">
        <v>259</v>
      </c>
      <c r="AK210" s="46" t="s">
        <v>260</v>
      </c>
      <c r="AL210" s="46" t="s">
        <v>261</v>
      </c>
      <c r="AM210" s="46" t="s">
        <v>262</v>
      </c>
      <c r="AN210" s="46" t="s">
        <v>263</v>
      </c>
      <c r="AO210" s="46" t="s">
        <v>264</v>
      </c>
    </row>
    <row r="211" spans="1:41">
      <c r="A211" s="88" t="s">
        <v>128</v>
      </c>
      <c r="B211" s="85" t="s">
        <v>876</v>
      </c>
      <c r="C211">
        <v>1939</v>
      </c>
      <c r="D211" t="s">
        <v>132</v>
      </c>
      <c r="E211" t="s">
        <v>132</v>
      </c>
      <c r="G211" t="s">
        <v>877</v>
      </c>
      <c r="H211" t="s">
        <v>130</v>
      </c>
      <c r="I211" s="10">
        <v>-0.05</v>
      </c>
      <c r="L211" s="27">
        <v>-0.55000000000000004</v>
      </c>
      <c r="N211" s="27">
        <v>-0.55000000000000004</v>
      </c>
      <c r="V211" s="27">
        <v>-0.8</v>
      </c>
      <c r="W211">
        <v>-0.2</v>
      </c>
      <c r="AH211" s="24">
        <v>1.5</v>
      </c>
      <c r="AJ211">
        <v>0.2</v>
      </c>
      <c r="AL211">
        <v>1</v>
      </c>
    </row>
    <row r="212" spans="1:41">
      <c r="A212" s="89"/>
      <c r="B212" s="71"/>
      <c r="C212">
        <v>1942</v>
      </c>
      <c r="D212" t="s">
        <v>137</v>
      </c>
      <c r="E212" t="s">
        <v>137</v>
      </c>
      <c r="G212" t="s">
        <v>878</v>
      </c>
      <c r="H212" t="s">
        <v>135</v>
      </c>
      <c r="I212" s="10">
        <v>-0.1</v>
      </c>
      <c r="L212" s="27">
        <f>L211+10%</f>
        <v>-0.45000000000000007</v>
      </c>
      <c r="N212" s="27">
        <f>N211+10%</f>
        <v>-0.45000000000000007</v>
      </c>
      <c r="V212" s="27">
        <v>-0.6</v>
      </c>
      <c r="W212">
        <v>-0.3</v>
      </c>
      <c r="AH212" s="24">
        <f>AH211+0.3</f>
        <v>1.8</v>
      </c>
      <c r="AJ212">
        <v>0.2</v>
      </c>
      <c r="AL212">
        <v>1</v>
      </c>
    </row>
    <row r="213" spans="1:41">
      <c r="A213" s="89"/>
      <c r="B213" s="71"/>
      <c r="C213">
        <v>1944</v>
      </c>
      <c r="D213" t="s">
        <v>141</v>
      </c>
      <c r="E213" t="s">
        <v>141</v>
      </c>
      <c r="G213" t="s">
        <v>879</v>
      </c>
      <c r="H213" t="s">
        <v>139</v>
      </c>
      <c r="I213" s="10">
        <v>-0.15</v>
      </c>
      <c r="L213" s="27">
        <f>L212+10%</f>
        <v>-0.35000000000000009</v>
      </c>
      <c r="N213" s="27">
        <f>N212+10%</f>
        <v>-0.35000000000000009</v>
      </c>
      <c r="V213" s="27">
        <v>-0.4</v>
      </c>
      <c r="W213">
        <v>-0.3</v>
      </c>
      <c r="AH213" s="24">
        <f t="shared" ref="AH213:AH220" si="66">AH212+0.3</f>
        <v>2.1</v>
      </c>
      <c r="AJ213">
        <v>0.2</v>
      </c>
      <c r="AL213">
        <v>1</v>
      </c>
    </row>
    <row r="214" spans="1:41">
      <c r="A214" s="89"/>
      <c r="B214" s="71"/>
      <c r="C214">
        <v>1950</v>
      </c>
      <c r="D214" t="s">
        <v>145</v>
      </c>
      <c r="E214" t="s">
        <v>145</v>
      </c>
      <c r="G214" t="s">
        <v>880</v>
      </c>
      <c r="H214" t="s">
        <v>143</v>
      </c>
      <c r="I214" s="10">
        <v>-0.15</v>
      </c>
      <c r="L214" s="27">
        <f>L213+10%</f>
        <v>-0.25000000000000011</v>
      </c>
      <c r="N214" s="27">
        <f>N213+10%</f>
        <v>-0.25000000000000011</v>
      </c>
      <c r="V214" s="27">
        <v>-0.2</v>
      </c>
      <c r="W214">
        <v>-0.3</v>
      </c>
      <c r="AH214" s="24">
        <f t="shared" si="66"/>
        <v>2.4</v>
      </c>
      <c r="AJ214">
        <v>0.2</v>
      </c>
      <c r="AL214">
        <v>1</v>
      </c>
    </row>
    <row r="215" spans="1:41">
      <c r="A215" s="89"/>
      <c r="B215" s="71"/>
      <c r="C215">
        <v>1960</v>
      </c>
      <c r="D215" t="s">
        <v>149</v>
      </c>
      <c r="E215" t="s">
        <v>149</v>
      </c>
      <c r="G215" t="s">
        <v>881</v>
      </c>
      <c r="H215" t="s">
        <v>147</v>
      </c>
      <c r="I215" s="10">
        <v>-0.2</v>
      </c>
      <c r="L215" s="27">
        <f>L214+5%</f>
        <v>-0.20000000000000012</v>
      </c>
      <c r="N215" s="27">
        <f>N214+5%</f>
        <v>-0.20000000000000012</v>
      </c>
      <c r="V215" s="28">
        <v>-0.185</v>
      </c>
      <c r="W215">
        <v>-0.4</v>
      </c>
      <c r="AH215" s="24">
        <f t="shared" si="66"/>
        <v>2.6999999999999997</v>
      </c>
      <c r="AJ215">
        <v>0.2</v>
      </c>
      <c r="AL215">
        <v>2</v>
      </c>
    </row>
    <row r="216" spans="1:41">
      <c r="A216" s="89"/>
      <c r="B216" s="71"/>
      <c r="C216">
        <v>1970</v>
      </c>
      <c r="D216" t="s">
        <v>155</v>
      </c>
      <c r="E216" t="s">
        <v>155</v>
      </c>
      <c r="G216" t="s">
        <v>882</v>
      </c>
      <c r="H216" t="s">
        <v>153</v>
      </c>
      <c r="I216" s="10">
        <v>-0.2</v>
      </c>
      <c r="L216" s="27">
        <f t="shared" ref="L216:N220" si="67">L215+5%</f>
        <v>-0.15000000000000013</v>
      </c>
      <c r="N216" s="27">
        <f t="shared" si="67"/>
        <v>-0.15000000000000013</v>
      </c>
      <c r="V216" s="27">
        <f>V215+1.5%</f>
        <v>-0.16999999999999998</v>
      </c>
      <c r="W216">
        <v>-0.4</v>
      </c>
      <c r="AH216" s="24">
        <f t="shared" si="66"/>
        <v>2.9999999999999996</v>
      </c>
      <c r="AJ216">
        <v>0.2</v>
      </c>
      <c r="AL216">
        <v>2</v>
      </c>
    </row>
    <row r="217" spans="1:41">
      <c r="A217" s="89"/>
      <c r="B217" s="71"/>
      <c r="C217">
        <v>1980</v>
      </c>
      <c r="D217" t="s">
        <v>159</v>
      </c>
      <c r="E217" t="s">
        <v>159</v>
      </c>
      <c r="G217" t="s">
        <v>883</v>
      </c>
      <c r="H217" t="s">
        <v>157</v>
      </c>
      <c r="I217" s="10">
        <v>-0.2</v>
      </c>
      <c r="L217" s="27">
        <f t="shared" si="67"/>
        <v>-0.10000000000000013</v>
      </c>
      <c r="N217" s="27">
        <f t="shared" si="67"/>
        <v>-0.10000000000000013</v>
      </c>
      <c r="V217" s="28">
        <f t="shared" ref="V217:V220" si="68">V216+1.5%</f>
        <v>-0.15499999999999997</v>
      </c>
      <c r="W217">
        <v>-0.4</v>
      </c>
      <c r="AH217" s="24">
        <f t="shared" si="66"/>
        <v>3.2999999999999994</v>
      </c>
      <c r="AJ217">
        <v>0.2</v>
      </c>
      <c r="AL217">
        <v>2</v>
      </c>
    </row>
    <row r="218" spans="1:41">
      <c r="A218" s="89"/>
      <c r="B218" s="71"/>
      <c r="C218">
        <v>1990</v>
      </c>
      <c r="D218" t="s">
        <v>164</v>
      </c>
      <c r="E218" t="s">
        <v>164</v>
      </c>
      <c r="G218" t="s">
        <v>884</v>
      </c>
      <c r="H218" t="s">
        <v>162</v>
      </c>
      <c r="I218" s="10">
        <v>-0.2</v>
      </c>
      <c r="L218" s="27">
        <f t="shared" si="67"/>
        <v>-5.0000000000000128E-2</v>
      </c>
      <c r="N218" s="27">
        <f t="shared" si="67"/>
        <v>-5.0000000000000128E-2</v>
      </c>
      <c r="V218" s="27">
        <f t="shared" si="68"/>
        <v>-0.13999999999999996</v>
      </c>
      <c r="W218">
        <v>-0.5</v>
      </c>
      <c r="AH218" s="24">
        <f t="shared" si="66"/>
        <v>3.5999999999999992</v>
      </c>
      <c r="AJ218">
        <v>0.2</v>
      </c>
      <c r="AL218">
        <v>2</v>
      </c>
    </row>
    <row r="219" spans="1:41">
      <c r="A219" s="89"/>
      <c r="B219" s="71"/>
      <c r="C219">
        <v>2005</v>
      </c>
      <c r="D219" t="s">
        <v>169</v>
      </c>
      <c r="E219" t="s">
        <v>169</v>
      </c>
      <c r="G219" t="s">
        <v>885</v>
      </c>
      <c r="H219" t="s">
        <v>167</v>
      </c>
      <c r="I219" s="10">
        <v>-0.2</v>
      </c>
      <c r="L219" s="27">
        <f t="shared" si="67"/>
        <v>-1.2490009027033011E-16</v>
      </c>
      <c r="N219" s="27">
        <f t="shared" si="67"/>
        <v>-1.2490009027033011E-16</v>
      </c>
      <c r="V219" s="28">
        <f t="shared" si="68"/>
        <v>-0.12499999999999996</v>
      </c>
      <c r="W219">
        <v>-0.5</v>
      </c>
      <c r="AH219" s="24">
        <f t="shared" si="66"/>
        <v>3.899999999999999</v>
      </c>
      <c r="AJ219">
        <v>0.2</v>
      </c>
      <c r="AL219">
        <v>2</v>
      </c>
    </row>
    <row r="220" spans="1:41">
      <c r="A220" s="89"/>
      <c r="B220" s="71"/>
      <c r="C220">
        <v>2015</v>
      </c>
      <c r="D220" t="s">
        <v>174</v>
      </c>
      <c r="E220" t="s">
        <v>174</v>
      </c>
      <c r="G220" t="s">
        <v>886</v>
      </c>
      <c r="H220" t="s">
        <v>172</v>
      </c>
      <c r="I220" s="10">
        <v>-0.2</v>
      </c>
      <c r="L220" s="27">
        <f t="shared" si="67"/>
        <v>4.9999999999999878E-2</v>
      </c>
      <c r="N220" s="27">
        <f t="shared" si="67"/>
        <v>4.9999999999999878E-2</v>
      </c>
      <c r="V220" s="27">
        <f t="shared" si="68"/>
        <v>-0.10999999999999996</v>
      </c>
      <c r="W220">
        <v>-0.5</v>
      </c>
      <c r="AH220" s="24">
        <f t="shared" si="66"/>
        <v>4.1999999999999993</v>
      </c>
      <c r="AJ220">
        <v>0.2</v>
      </c>
      <c r="AL220">
        <v>2</v>
      </c>
    </row>
    <row r="221" spans="1:41">
      <c r="A221" s="89"/>
    </row>
    <row r="222" spans="1:41">
      <c r="A222" s="89"/>
      <c r="B222" s="71" t="s">
        <v>887</v>
      </c>
      <c r="C222">
        <v>1939</v>
      </c>
      <c r="D222" t="s">
        <v>179</v>
      </c>
      <c r="E222" t="s">
        <v>179</v>
      </c>
      <c r="G222" t="s">
        <v>888</v>
      </c>
      <c r="H222" t="s">
        <v>889</v>
      </c>
      <c r="I222" s="10">
        <v>-0.15</v>
      </c>
      <c r="L222" s="27">
        <v>-0.3</v>
      </c>
      <c r="N222" s="27">
        <v>-0.3</v>
      </c>
      <c r="V222" s="27">
        <v>-0.55000000000000004</v>
      </c>
      <c r="W222">
        <v>-0.4</v>
      </c>
      <c r="AH222" s="24">
        <v>3</v>
      </c>
      <c r="AJ222">
        <v>0.3</v>
      </c>
      <c r="AL222">
        <v>2</v>
      </c>
    </row>
    <row r="223" spans="1:41">
      <c r="A223" s="89"/>
      <c r="B223" s="71"/>
      <c r="C223">
        <v>1942</v>
      </c>
      <c r="D223" t="s">
        <v>181</v>
      </c>
      <c r="E223" t="s">
        <v>181</v>
      </c>
      <c r="G223" t="s">
        <v>890</v>
      </c>
      <c r="H223" t="s">
        <v>891</v>
      </c>
      <c r="I223" s="10">
        <v>-0.2</v>
      </c>
      <c r="L223" s="27">
        <f>L222+10%</f>
        <v>-0.19999999999999998</v>
      </c>
      <c r="N223" s="27">
        <f>N222+10%</f>
        <v>-0.19999999999999998</v>
      </c>
      <c r="V223" s="27">
        <v>-0.3</v>
      </c>
      <c r="W223">
        <v>-0.5</v>
      </c>
      <c r="AH223" s="24">
        <f>AH222+0.4</f>
        <v>3.4</v>
      </c>
      <c r="AJ223">
        <v>0.3</v>
      </c>
      <c r="AL223">
        <v>2</v>
      </c>
    </row>
    <row r="224" spans="1:41">
      <c r="A224" s="89"/>
      <c r="B224" s="71"/>
      <c r="C224">
        <v>1944</v>
      </c>
      <c r="D224" t="s">
        <v>183</v>
      </c>
      <c r="E224" t="s">
        <v>183</v>
      </c>
      <c r="G224" t="s">
        <v>892</v>
      </c>
      <c r="H224" t="s">
        <v>893</v>
      </c>
      <c r="I224" s="10">
        <v>-0.25</v>
      </c>
      <c r="L224" s="27">
        <f>L223+10%</f>
        <v>-9.9999999999999978E-2</v>
      </c>
      <c r="N224" s="27">
        <f>N223+10%</f>
        <v>-9.9999999999999978E-2</v>
      </c>
      <c r="V224" s="27">
        <v>-0.15</v>
      </c>
      <c r="W224">
        <v>-0.5</v>
      </c>
      <c r="AH224" s="24">
        <f t="shared" ref="AH224:AH231" si="69">AH223+0.4</f>
        <v>3.8</v>
      </c>
      <c r="AJ224">
        <v>0.3</v>
      </c>
      <c r="AL224">
        <v>2</v>
      </c>
    </row>
    <row r="225" spans="1:41">
      <c r="A225" s="89"/>
      <c r="B225" s="71"/>
      <c r="C225" s="15">
        <v>1950</v>
      </c>
      <c r="D225" s="15" t="s">
        <v>185</v>
      </c>
      <c r="E225" s="15" t="s">
        <v>185</v>
      </c>
      <c r="F225" s="15"/>
      <c r="G225" s="15" t="s">
        <v>894</v>
      </c>
      <c r="H225" s="15" t="s">
        <v>895</v>
      </c>
      <c r="I225" s="16">
        <v>-0.25</v>
      </c>
      <c r="J225" s="15"/>
      <c r="K225" s="15"/>
      <c r="L225" s="15">
        <v>0</v>
      </c>
      <c r="M225" s="15"/>
      <c r="N225" s="15">
        <v>0</v>
      </c>
      <c r="O225" s="15"/>
      <c r="P225" s="15"/>
      <c r="Q225" s="15"/>
      <c r="R225" s="15"/>
      <c r="S225" s="15"/>
      <c r="T225" s="15"/>
      <c r="U225" s="15"/>
      <c r="V225" s="15">
        <v>0</v>
      </c>
      <c r="W225">
        <v>-0.5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24">
        <f t="shared" si="69"/>
        <v>4.2</v>
      </c>
      <c r="AI225" s="15"/>
      <c r="AJ225">
        <v>0.3</v>
      </c>
      <c r="AK225" s="15"/>
      <c r="AL225">
        <v>2</v>
      </c>
      <c r="AM225" s="15"/>
      <c r="AN225" s="15"/>
      <c r="AO225" s="15"/>
    </row>
    <row r="226" spans="1:41">
      <c r="A226" s="89"/>
      <c r="B226" s="71"/>
      <c r="C226" s="8">
        <v>1960</v>
      </c>
      <c r="D226" s="8" t="s">
        <v>896</v>
      </c>
      <c r="E226" t="s">
        <v>897</v>
      </c>
      <c r="G226" t="s">
        <v>898</v>
      </c>
      <c r="H226" t="s">
        <v>899</v>
      </c>
      <c r="I226" s="14">
        <v>-0.3</v>
      </c>
      <c r="L226" s="28">
        <v>2.5000000000000001E-2</v>
      </c>
      <c r="M226" s="57"/>
      <c r="N226" s="28">
        <v>2.5000000000000001E-2</v>
      </c>
      <c r="V226" s="28">
        <v>0.125</v>
      </c>
      <c r="W226">
        <v>-0.6</v>
      </c>
      <c r="AH226" s="24">
        <f>AH225+0.4</f>
        <v>4.6000000000000005</v>
      </c>
      <c r="AJ226">
        <v>0.3</v>
      </c>
      <c r="AL226">
        <v>3</v>
      </c>
    </row>
    <row r="227" spans="1:41">
      <c r="A227" s="89"/>
      <c r="B227" s="71"/>
      <c r="C227" s="8">
        <v>1970</v>
      </c>
      <c r="D227" s="8" t="s">
        <v>900</v>
      </c>
      <c r="E227" t="s">
        <v>901</v>
      </c>
      <c r="G227" t="s">
        <v>902</v>
      </c>
      <c r="H227" t="s">
        <v>903</v>
      </c>
      <c r="I227" s="14">
        <v>-0.3</v>
      </c>
      <c r="L227" s="28">
        <f t="shared" ref="L227:L231" si="70">L226+5%</f>
        <v>7.5000000000000011E-2</v>
      </c>
      <c r="M227" s="28"/>
      <c r="N227" s="28">
        <f t="shared" ref="N227:N231" si="71">N226+5%</f>
        <v>7.5000000000000011E-2</v>
      </c>
      <c r="V227" s="27">
        <f>V226+2.5%</f>
        <v>0.15</v>
      </c>
      <c r="W227">
        <v>-0.6</v>
      </c>
      <c r="AH227" s="24">
        <f t="shared" si="69"/>
        <v>5.0000000000000009</v>
      </c>
      <c r="AJ227">
        <v>0.3</v>
      </c>
      <c r="AL227">
        <v>3</v>
      </c>
    </row>
    <row r="228" spans="1:41">
      <c r="A228" s="89"/>
      <c r="B228" s="71"/>
      <c r="C228" s="8">
        <v>1980</v>
      </c>
      <c r="D228" s="8" t="s">
        <v>904</v>
      </c>
      <c r="E228" t="s">
        <v>905</v>
      </c>
      <c r="G228" t="s">
        <v>906</v>
      </c>
      <c r="H228" t="s">
        <v>907</v>
      </c>
      <c r="I228" s="14">
        <v>-0.3</v>
      </c>
      <c r="L228" s="28">
        <f t="shared" si="70"/>
        <v>0.125</v>
      </c>
      <c r="M228" s="28"/>
      <c r="N228" s="28">
        <f t="shared" si="71"/>
        <v>0.125</v>
      </c>
      <c r="V228" s="28">
        <f t="shared" ref="V228:V231" si="72">V227+2.5%</f>
        <v>0.17499999999999999</v>
      </c>
      <c r="W228">
        <v>-0.6</v>
      </c>
      <c r="AH228" s="24">
        <f t="shared" si="69"/>
        <v>5.4000000000000012</v>
      </c>
      <c r="AJ228">
        <v>0.3</v>
      </c>
      <c r="AL228">
        <v>3</v>
      </c>
    </row>
    <row r="229" spans="1:41">
      <c r="A229" s="89"/>
      <c r="B229" s="71"/>
      <c r="C229" s="8">
        <v>1990</v>
      </c>
      <c r="D229" s="9" t="s">
        <v>908</v>
      </c>
      <c r="E229" t="s">
        <v>909</v>
      </c>
      <c r="G229" t="s">
        <v>910</v>
      </c>
      <c r="H229" t="s">
        <v>911</v>
      </c>
      <c r="I229" s="14">
        <v>-0.3</v>
      </c>
      <c r="L229" s="28">
        <f t="shared" si="70"/>
        <v>0.17499999999999999</v>
      </c>
      <c r="M229" s="28"/>
      <c r="N229" s="28">
        <f t="shared" si="71"/>
        <v>0.17499999999999999</v>
      </c>
      <c r="V229" s="27">
        <f t="shared" si="72"/>
        <v>0.19999999999999998</v>
      </c>
      <c r="W229">
        <v>-0.7</v>
      </c>
      <c r="AH229" s="24">
        <f t="shared" si="69"/>
        <v>5.8000000000000016</v>
      </c>
      <c r="AJ229">
        <v>0.3</v>
      </c>
      <c r="AL229">
        <v>3</v>
      </c>
    </row>
    <row r="230" spans="1:41">
      <c r="A230" s="89"/>
      <c r="B230" s="71"/>
      <c r="C230" s="8">
        <v>2005</v>
      </c>
      <c r="D230" s="9" t="s">
        <v>912</v>
      </c>
      <c r="E230" t="s">
        <v>913</v>
      </c>
      <c r="G230" t="s">
        <v>914</v>
      </c>
      <c r="H230" t="s">
        <v>915</v>
      </c>
      <c r="I230" s="14">
        <v>-0.3</v>
      </c>
      <c r="L230" s="28">
        <f t="shared" si="70"/>
        <v>0.22499999999999998</v>
      </c>
      <c r="M230" s="28"/>
      <c r="N230" s="28">
        <f t="shared" si="71"/>
        <v>0.22499999999999998</v>
      </c>
      <c r="V230" s="28">
        <f t="shared" si="72"/>
        <v>0.22499999999999998</v>
      </c>
      <c r="W230">
        <v>-0.7</v>
      </c>
      <c r="AH230" s="24">
        <f t="shared" si="69"/>
        <v>6.200000000000002</v>
      </c>
      <c r="AJ230">
        <v>0.3</v>
      </c>
      <c r="AL230">
        <v>3</v>
      </c>
    </row>
    <row r="231" spans="1:41">
      <c r="A231" s="89"/>
      <c r="B231" s="71"/>
      <c r="C231" s="8">
        <v>2015</v>
      </c>
      <c r="D231" s="9" t="s">
        <v>916</v>
      </c>
      <c r="E231" t="s">
        <v>917</v>
      </c>
      <c r="G231" t="s">
        <v>918</v>
      </c>
      <c r="H231" t="s">
        <v>919</v>
      </c>
      <c r="I231" s="14">
        <v>-0.3</v>
      </c>
      <c r="L231" s="28">
        <f t="shared" si="70"/>
        <v>0.27499999999999997</v>
      </c>
      <c r="M231" s="28"/>
      <c r="N231" s="28">
        <f t="shared" si="71"/>
        <v>0.27499999999999997</v>
      </c>
      <c r="V231" s="27">
        <f t="shared" si="72"/>
        <v>0.24999999999999997</v>
      </c>
      <c r="W231">
        <v>-0.7</v>
      </c>
      <c r="AH231" s="24">
        <f t="shared" si="69"/>
        <v>6.6000000000000023</v>
      </c>
      <c r="AJ231">
        <v>0.3</v>
      </c>
      <c r="AL231">
        <v>3</v>
      </c>
    </row>
    <row r="232" spans="1:41">
      <c r="A232" s="89"/>
      <c r="B232" s="71"/>
      <c r="C232">
        <v>1960</v>
      </c>
      <c r="D232" t="s">
        <v>920</v>
      </c>
      <c r="E232" t="s">
        <v>897</v>
      </c>
      <c r="G232" s="22" t="s">
        <v>921</v>
      </c>
      <c r="H232" t="s">
        <v>922</v>
      </c>
      <c r="I232" s="10">
        <v>-0.3</v>
      </c>
      <c r="L232" s="28">
        <f>L225+7.5%</f>
        <v>7.4999999999999997E-2</v>
      </c>
      <c r="M232" s="28"/>
      <c r="N232" s="28">
        <f>N225+7.5%</f>
        <v>7.4999999999999997E-2</v>
      </c>
      <c r="V232" s="28">
        <v>2.5000000000000001E-2</v>
      </c>
      <c r="W232">
        <v>-0.6</v>
      </c>
      <c r="AH232" s="24">
        <f>AH225+0.8</f>
        <v>5</v>
      </c>
      <c r="AJ232">
        <v>0.3</v>
      </c>
      <c r="AL232">
        <v>3</v>
      </c>
    </row>
    <row r="233" spans="1:41">
      <c r="A233" s="89"/>
      <c r="B233" s="71"/>
      <c r="C233">
        <v>1970</v>
      </c>
      <c r="D233" t="s">
        <v>923</v>
      </c>
      <c r="E233" t="s">
        <v>901</v>
      </c>
      <c r="G233" s="22" t="s">
        <v>924</v>
      </c>
      <c r="H233" t="s">
        <v>925</v>
      </c>
      <c r="I233" s="10">
        <v>-0.3</v>
      </c>
      <c r="L233" s="28">
        <f t="shared" ref="L233:N237" si="73">L232+5%</f>
        <v>0.125</v>
      </c>
      <c r="M233" s="28"/>
      <c r="N233" s="28">
        <f t="shared" si="73"/>
        <v>0.125</v>
      </c>
      <c r="V233" s="27">
        <f>V232+2.5%</f>
        <v>0.05</v>
      </c>
      <c r="W233">
        <v>-0.6</v>
      </c>
      <c r="AH233" s="24">
        <f>AH232+0.4</f>
        <v>5.4</v>
      </c>
      <c r="AJ233">
        <v>0.3</v>
      </c>
      <c r="AL233">
        <v>3</v>
      </c>
    </row>
    <row r="234" spans="1:41">
      <c r="A234" s="89"/>
      <c r="B234" s="71"/>
      <c r="C234">
        <v>1980</v>
      </c>
      <c r="D234" t="s">
        <v>926</v>
      </c>
      <c r="E234" t="s">
        <v>905</v>
      </c>
      <c r="G234" s="22" t="s">
        <v>927</v>
      </c>
      <c r="H234" t="s">
        <v>928</v>
      </c>
      <c r="I234" s="10">
        <v>-0.3</v>
      </c>
      <c r="L234" s="28">
        <f t="shared" si="73"/>
        <v>0.17499999999999999</v>
      </c>
      <c r="M234" s="28"/>
      <c r="N234" s="28">
        <f t="shared" si="73"/>
        <v>0.17499999999999999</v>
      </c>
      <c r="V234" s="28">
        <f t="shared" ref="V234:V237" si="74">V233+2.5%</f>
        <v>7.5000000000000011E-2</v>
      </c>
      <c r="W234">
        <v>-0.6</v>
      </c>
      <c r="AH234" s="24">
        <f t="shared" ref="AH234:AH237" si="75">AH233+0.4</f>
        <v>5.8000000000000007</v>
      </c>
      <c r="AJ234">
        <v>0.3</v>
      </c>
      <c r="AL234">
        <v>3</v>
      </c>
    </row>
    <row r="235" spans="1:41">
      <c r="A235" s="89"/>
      <c r="B235" s="71"/>
      <c r="C235">
        <v>1990</v>
      </c>
      <c r="D235" t="s">
        <v>929</v>
      </c>
      <c r="E235" t="s">
        <v>909</v>
      </c>
      <c r="G235" s="22" t="s">
        <v>930</v>
      </c>
      <c r="H235" t="s">
        <v>931</v>
      </c>
      <c r="I235" s="10">
        <v>-0.3</v>
      </c>
      <c r="L235" s="28">
        <f t="shared" si="73"/>
        <v>0.22499999999999998</v>
      </c>
      <c r="M235" s="28"/>
      <c r="N235" s="28">
        <f t="shared" si="73"/>
        <v>0.22499999999999998</v>
      </c>
      <c r="V235" s="27">
        <f t="shared" si="74"/>
        <v>0.1</v>
      </c>
      <c r="W235">
        <v>-0.7</v>
      </c>
      <c r="AH235" s="24">
        <f t="shared" si="75"/>
        <v>6.2000000000000011</v>
      </c>
      <c r="AJ235">
        <v>0.3</v>
      </c>
      <c r="AL235">
        <v>3</v>
      </c>
    </row>
    <row r="236" spans="1:41">
      <c r="A236" s="89"/>
      <c r="B236" s="71"/>
      <c r="C236">
        <v>2005</v>
      </c>
      <c r="D236" t="s">
        <v>932</v>
      </c>
      <c r="E236" t="s">
        <v>913</v>
      </c>
      <c r="G236" s="22" t="s">
        <v>933</v>
      </c>
      <c r="H236" t="s">
        <v>934</v>
      </c>
      <c r="I236" s="10">
        <v>-0.3</v>
      </c>
      <c r="L236" s="28">
        <f t="shared" si="73"/>
        <v>0.27499999999999997</v>
      </c>
      <c r="M236" s="28"/>
      <c r="N236" s="28">
        <f t="shared" si="73"/>
        <v>0.27499999999999997</v>
      </c>
      <c r="V236" s="28">
        <f t="shared" si="74"/>
        <v>0.125</v>
      </c>
      <c r="W236">
        <v>-0.7</v>
      </c>
      <c r="AH236" s="24">
        <f t="shared" si="75"/>
        <v>6.6000000000000014</v>
      </c>
      <c r="AJ236">
        <v>0.3</v>
      </c>
      <c r="AL236">
        <v>3</v>
      </c>
    </row>
    <row r="237" spans="1:41">
      <c r="A237" s="89"/>
      <c r="B237" s="71"/>
      <c r="C237">
        <v>2015</v>
      </c>
      <c r="D237" t="s">
        <v>935</v>
      </c>
      <c r="E237" t="s">
        <v>917</v>
      </c>
      <c r="G237" s="22" t="s">
        <v>936</v>
      </c>
      <c r="H237" t="s">
        <v>937</v>
      </c>
      <c r="I237" s="10">
        <v>-0.3</v>
      </c>
      <c r="L237" s="28">
        <f t="shared" si="73"/>
        <v>0.32499999999999996</v>
      </c>
      <c r="M237" s="28"/>
      <c r="N237" s="28">
        <f t="shared" si="73"/>
        <v>0.32499999999999996</v>
      </c>
      <c r="V237" s="27">
        <f t="shared" si="74"/>
        <v>0.15</v>
      </c>
      <c r="W237">
        <v>-0.7</v>
      </c>
      <c r="AH237" s="24">
        <f t="shared" si="75"/>
        <v>7.0000000000000018</v>
      </c>
      <c r="AJ237">
        <v>0.3</v>
      </c>
      <c r="AL237">
        <v>3</v>
      </c>
    </row>
    <row r="238" spans="1:41">
      <c r="A238" s="89"/>
      <c r="AH238" s="52"/>
    </row>
    <row r="239" spans="1:41">
      <c r="A239" s="89"/>
      <c r="B239" s="71" t="s">
        <v>938</v>
      </c>
      <c r="C239">
        <v>1942</v>
      </c>
      <c r="D239" t="s">
        <v>217</v>
      </c>
      <c r="E239" t="s">
        <v>217</v>
      </c>
      <c r="G239" t="s">
        <v>939</v>
      </c>
      <c r="H239" t="s">
        <v>940</v>
      </c>
      <c r="I239" s="10">
        <v>-0.3</v>
      </c>
      <c r="L239">
        <v>0</v>
      </c>
      <c r="N239">
        <v>0</v>
      </c>
      <c r="V239" s="27">
        <v>-0.05</v>
      </c>
      <c r="W239">
        <v>-0.6</v>
      </c>
      <c r="AH239" s="24">
        <v>6</v>
      </c>
      <c r="AJ239">
        <v>0.4</v>
      </c>
      <c r="AL239">
        <v>3</v>
      </c>
    </row>
    <row r="240" spans="1:41">
      <c r="A240" s="89"/>
      <c r="B240" s="71"/>
      <c r="C240">
        <v>1944</v>
      </c>
      <c r="D240" t="s">
        <v>218</v>
      </c>
      <c r="E240" t="s">
        <v>218</v>
      </c>
      <c r="G240" t="s">
        <v>941</v>
      </c>
      <c r="H240" t="s">
        <v>942</v>
      </c>
      <c r="I240" s="10">
        <v>-0.3</v>
      </c>
      <c r="L240" s="27">
        <f t="shared" ref="L240:L242" si="76">L239+5%</f>
        <v>0.05</v>
      </c>
      <c r="N240" s="27">
        <f t="shared" ref="N240:N242" si="77">N239+5%</f>
        <v>0.05</v>
      </c>
      <c r="V240">
        <v>0</v>
      </c>
      <c r="W240">
        <v>-0.6</v>
      </c>
      <c r="AH240" s="24">
        <f>AH239+0.5</f>
        <v>6.5</v>
      </c>
      <c r="AJ240">
        <v>0.4</v>
      </c>
      <c r="AL240">
        <v>3</v>
      </c>
    </row>
    <row r="241" spans="1:38">
      <c r="A241" s="89"/>
      <c r="B241" s="71"/>
      <c r="C241">
        <v>1950</v>
      </c>
      <c r="D241" t="s">
        <v>219</v>
      </c>
      <c r="E241" t="s">
        <v>219</v>
      </c>
      <c r="G241" t="s">
        <v>943</v>
      </c>
      <c r="H241" t="s">
        <v>944</v>
      </c>
      <c r="I241" s="10">
        <v>-0.3</v>
      </c>
      <c r="L241" s="27">
        <f t="shared" si="76"/>
        <v>0.1</v>
      </c>
      <c r="N241" s="27">
        <f t="shared" si="77"/>
        <v>0.1</v>
      </c>
      <c r="V241" s="27">
        <v>0.15</v>
      </c>
      <c r="W241">
        <v>-0.7</v>
      </c>
      <c r="AH241" s="24">
        <f t="shared" ref="AH241:AH242" si="78">AH240+0.5</f>
        <v>7</v>
      </c>
      <c r="AJ241">
        <v>0.4</v>
      </c>
      <c r="AL241">
        <v>3</v>
      </c>
    </row>
    <row r="242" spans="1:38">
      <c r="A242" s="89"/>
      <c r="B242" s="71"/>
      <c r="C242">
        <v>1955</v>
      </c>
      <c r="D242" t="s">
        <v>220</v>
      </c>
      <c r="E242" t="s">
        <v>220</v>
      </c>
      <c r="G242" t="s">
        <v>945</v>
      </c>
      <c r="H242" t="s">
        <v>946</v>
      </c>
      <c r="I242" s="10">
        <v>-0.35</v>
      </c>
      <c r="L242" s="27">
        <f t="shared" si="76"/>
        <v>0.15000000000000002</v>
      </c>
      <c r="N242" s="27">
        <f t="shared" si="77"/>
        <v>0.15000000000000002</v>
      </c>
      <c r="V242" s="27">
        <v>0.2</v>
      </c>
      <c r="W242">
        <v>-0.7</v>
      </c>
      <c r="AH242" s="24">
        <f t="shared" si="78"/>
        <v>7.5</v>
      </c>
      <c r="AJ242">
        <v>0.4</v>
      </c>
      <c r="AL242">
        <v>3</v>
      </c>
    </row>
    <row r="243" spans="1:38">
      <c r="A243" s="89"/>
      <c r="B243" s="66"/>
    </row>
    <row r="244" spans="1:38">
      <c r="A244" s="89"/>
      <c r="B244" s="66" t="s">
        <v>947</v>
      </c>
      <c r="C244">
        <v>1955</v>
      </c>
      <c r="D244" t="s">
        <v>223</v>
      </c>
      <c r="E244" t="s">
        <v>223</v>
      </c>
      <c r="G244" t="s">
        <v>948</v>
      </c>
      <c r="H244" t="s">
        <v>949</v>
      </c>
      <c r="I244" s="10">
        <v>-0.4</v>
      </c>
      <c r="L244" s="27">
        <v>0.25</v>
      </c>
      <c r="N244" s="27">
        <v>0.25</v>
      </c>
      <c r="V244" s="27">
        <v>0.35</v>
      </c>
      <c r="W244">
        <v>-1.2</v>
      </c>
      <c r="AH244" s="24">
        <v>8</v>
      </c>
      <c r="AJ244">
        <v>0.5</v>
      </c>
      <c r="AL244">
        <v>5</v>
      </c>
    </row>
    <row r="245" spans="1:38">
      <c r="A245" s="89"/>
      <c r="B245" s="66"/>
    </row>
    <row r="246" spans="1:38">
      <c r="A246" s="89"/>
      <c r="B246" s="66" t="s">
        <v>225</v>
      </c>
      <c r="C246">
        <v>1960</v>
      </c>
      <c r="D246" t="s">
        <v>225</v>
      </c>
      <c r="E246" t="s">
        <v>225</v>
      </c>
      <c r="G246" t="s">
        <v>225</v>
      </c>
      <c r="H246" t="s">
        <v>950</v>
      </c>
      <c r="I246" s="27">
        <v>-0.3</v>
      </c>
      <c r="L246" s="28">
        <v>0.125</v>
      </c>
      <c r="N246" s="28">
        <v>0.125</v>
      </c>
      <c r="V246" s="27">
        <v>0.2</v>
      </c>
      <c r="W246">
        <v>-0.6</v>
      </c>
      <c r="AH246" s="24">
        <v>5.2</v>
      </c>
      <c r="AJ246">
        <v>0.3</v>
      </c>
      <c r="AL246">
        <v>2</v>
      </c>
    </row>
    <row r="247" spans="1:38">
      <c r="A247" s="89"/>
      <c r="B247" s="66"/>
    </row>
    <row r="248" spans="1:38">
      <c r="A248" s="89"/>
      <c r="B248" s="71" t="s">
        <v>951</v>
      </c>
      <c r="C248">
        <v>1990</v>
      </c>
      <c r="D248" t="s">
        <v>228</v>
      </c>
      <c r="E248" t="s">
        <v>228</v>
      </c>
      <c r="G248" t="s">
        <v>952</v>
      </c>
      <c r="H248" t="s">
        <v>953</v>
      </c>
      <c r="I248" s="27">
        <v>-0.4</v>
      </c>
      <c r="L248" s="27">
        <v>0.25</v>
      </c>
      <c r="M248" s="27"/>
      <c r="N248" s="27">
        <v>0.25</v>
      </c>
      <c r="V248" s="27">
        <v>0.4</v>
      </c>
      <c r="W248">
        <v>-0.8</v>
      </c>
      <c r="AH248" s="24">
        <v>7.5</v>
      </c>
      <c r="AJ248">
        <v>0.3</v>
      </c>
      <c r="AL248">
        <v>4</v>
      </c>
    </row>
    <row r="249" spans="1:38">
      <c r="A249" s="89"/>
      <c r="B249" s="71"/>
      <c r="C249">
        <v>2000</v>
      </c>
      <c r="D249" t="s">
        <v>229</v>
      </c>
      <c r="E249" t="s">
        <v>229</v>
      </c>
      <c r="G249" t="s">
        <v>954</v>
      </c>
      <c r="H249" t="s">
        <v>955</v>
      </c>
      <c r="I249" s="27">
        <v>-0.35</v>
      </c>
      <c r="L249" s="27">
        <f>L248+5%</f>
        <v>0.3</v>
      </c>
      <c r="M249" s="27"/>
      <c r="N249" s="27">
        <f>N248+5%</f>
        <v>0.3</v>
      </c>
      <c r="V249" s="27">
        <v>0.45</v>
      </c>
      <c r="W249">
        <v>-0.8</v>
      </c>
      <c r="AH249" s="24">
        <f>AH248+0.6</f>
        <v>8.1</v>
      </c>
      <c r="AJ249">
        <v>0.3</v>
      </c>
      <c r="AL249">
        <v>4</v>
      </c>
    </row>
    <row r="250" spans="1:38">
      <c r="A250" s="89"/>
      <c r="B250" s="71"/>
      <c r="C250">
        <v>2010</v>
      </c>
      <c r="D250" t="s">
        <v>230</v>
      </c>
      <c r="E250" t="s">
        <v>230</v>
      </c>
      <c r="G250" t="s">
        <v>956</v>
      </c>
      <c r="H250" t="s">
        <v>957</v>
      </c>
      <c r="I250" s="27">
        <v>-0.35</v>
      </c>
      <c r="L250" s="27">
        <f>L249+5%</f>
        <v>0.35</v>
      </c>
      <c r="M250" s="27"/>
      <c r="N250" s="27">
        <f>N249+5%</f>
        <v>0.35</v>
      </c>
      <c r="V250" s="27">
        <v>0.5</v>
      </c>
      <c r="W250">
        <v>-0.8</v>
      </c>
      <c r="AH250" s="24">
        <f>AH249+0.6</f>
        <v>8.6999999999999993</v>
      </c>
      <c r="AJ250">
        <v>0.3</v>
      </c>
      <c r="AL250">
        <v>4</v>
      </c>
    </row>
    <row r="251" spans="1:38">
      <c r="A251" s="89"/>
    </row>
    <row r="252" spans="1:38">
      <c r="A252" s="89"/>
      <c r="B252" s="71" t="s">
        <v>231</v>
      </c>
      <c r="C252">
        <v>1950</v>
      </c>
      <c r="D252" t="s">
        <v>232</v>
      </c>
      <c r="E252" t="s">
        <v>232</v>
      </c>
      <c r="G252" t="s">
        <v>958</v>
      </c>
      <c r="H252" t="s">
        <v>959</v>
      </c>
      <c r="I252" s="27">
        <v>-0.1</v>
      </c>
      <c r="L252" s="27">
        <v>-0.35</v>
      </c>
      <c r="N252" s="27">
        <v>-0.35</v>
      </c>
      <c r="V252" s="27">
        <v>-0.2</v>
      </c>
      <c r="W252">
        <v>-0.2</v>
      </c>
      <c r="AH252" s="24">
        <v>2</v>
      </c>
      <c r="AJ252">
        <v>0.2</v>
      </c>
      <c r="AL252">
        <v>1</v>
      </c>
    </row>
    <row r="253" spans="1:38">
      <c r="A253" s="89"/>
      <c r="B253" s="71"/>
      <c r="C253">
        <v>1960</v>
      </c>
      <c r="D253" s="7" t="s">
        <v>234</v>
      </c>
      <c r="E253" s="7" t="s">
        <v>234</v>
      </c>
      <c r="G253" t="s">
        <v>960</v>
      </c>
      <c r="H253" t="s">
        <v>961</v>
      </c>
      <c r="I253" s="27">
        <v>-0.1</v>
      </c>
      <c r="L253" s="27">
        <f>L252+5%</f>
        <v>-0.3</v>
      </c>
      <c r="N253" s="27">
        <f t="shared" ref="N253:N255" si="79">N252+5%</f>
        <v>-0.3</v>
      </c>
      <c r="V253" s="28">
        <v>-0.185</v>
      </c>
      <c r="W253">
        <v>-0.2</v>
      </c>
      <c r="AH253" s="24">
        <f>AH252+0.3</f>
        <v>2.2999999999999998</v>
      </c>
      <c r="AJ253">
        <v>0.2</v>
      </c>
      <c r="AL253">
        <v>1</v>
      </c>
    </row>
    <row r="254" spans="1:38">
      <c r="A254" s="89"/>
      <c r="B254" s="71"/>
      <c r="C254">
        <v>1970</v>
      </c>
      <c r="D254" s="7" t="s">
        <v>235</v>
      </c>
      <c r="E254" s="7" t="s">
        <v>235</v>
      </c>
      <c r="G254" t="s">
        <v>962</v>
      </c>
      <c r="H254" t="s">
        <v>963</v>
      </c>
      <c r="I254" s="27">
        <v>-0.1</v>
      </c>
      <c r="L254" s="27">
        <f t="shared" ref="L254:L255" si="80">L253+5%</f>
        <v>-0.25</v>
      </c>
      <c r="N254" s="27">
        <f t="shared" si="79"/>
        <v>-0.25</v>
      </c>
      <c r="V254" s="27">
        <v>-0.17</v>
      </c>
      <c r="W254">
        <v>-0.2</v>
      </c>
      <c r="AH254" s="24">
        <f t="shared" ref="AH254:AH255" si="81">AH253+0.3</f>
        <v>2.5999999999999996</v>
      </c>
      <c r="AJ254">
        <v>0.2</v>
      </c>
      <c r="AL254">
        <v>1</v>
      </c>
    </row>
    <row r="255" spans="1:38">
      <c r="A255" s="89"/>
      <c r="B255" s="71"/>
      <c r="C255">
        <v>1990</v>
      </c>
      <c r="D255" t="s">
        <v>236</v>
      </c>
      <c r="E255" t="s">
        <v>236</v>
      </c>
      <c r="G255" t="s">
        <v>964</v>
      </c>
      <c r="H255" t="s">
        <v>965</v>
      </c>
      <c r="I255" s="27">
        <v>-0.1</v>
      </c>
      <c r="L255" s="27">
        <f t="shared" si="80"/>
        <v>-0.2</v>
      </c>
      <c r="N255" s="27">
        <f t="shared" si="79"/>
        <v>-0.2</v>
      </c>
      <c r="V255" s="27">
        <v>-0.14000000000000001</v>
      </c>
      <c r="W255">
        <v>-0.3</v>
      </c>
      <c r="AH255" s="24">
        <f t="shared" si="81"/>
        <v>2.8999999999999995</v>
      </c>
      <c r="AJ255">
        <v>0.2</v>
      </c>
      <c r="AL255">
        <v>1</v>
      </c>
    </row>
    <row r="258" spans="1:41">
      <c r="A258" s="77" t="s">
        <v>471</v>
      </c>
      <c r="B258" s="77" t="s">
        <v>2</v>
      </c>
      <c r="C258" s="77" t="s">
        <v>3</v>
      </c>
      <c r="D258" s="77" t="s">
        <v>472</v>
      </c>
      <c r="E258" s="77" t="s">
        <v>473</v>
      </c>
      <c r="F258" s="86" t="s">
        <v>240</v>
      </c>
      <c r="G258" s="87"/>
      <c r="H258" s="77" t="s">
        <v>474</v>
      </c>
      <c r="I258" s="79" t="s">
        <v>121</v>
      </c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1"/>
      <c r="AK258" s="82" t="s">
        <v>241</v>
      </c>
      <c r="AL258" s="83"/>
      <c r="AM258" s="83"/>
      <c r="AN258" s="83"/>
      <c r="AO258" s="84"/>
    </row>
    <row r="259" spans="1:41">
      <c r="A259" s="78"/>
      <c r="B259" s="78"/>
      <c r="C259" s="78"/>
      <c r="D259" s="78"/>
      <c r="E259" s="78"/>
      <c r="F259" s="68" t="s">
        <v>477</v>
      </c>
      <c r="G259" s="68" t="s">
        <v>243</v>
      </c>
      <c r="H259" s="78"/>
      <c r="I259" s="46" t="s">
        <v>244</v>
      </c>
      <c r="J259" s="46" t="s">
        <v>245</v>
      </c>
      <c r="K259" s="46" t="s">
        <v>124</v>
      </c>
      <c r="L259" s="46" t="s">
        <v>246</v>
      </c>
      <c r="M259" s="46" t="s">
        <v>125</v>
      </c>
      <c r="N259" s="46" t="s">
        <v>247</v>
      </c>
      <c r="O259" s="46" t="s">
        <v>248</v>
      </c>
      <c r="P259" s="46" t="s">
        <v>249</v>
      </c>
      <c r="Q259" s="46" t="s">
        <v>250</v>
      </c>
      <c r="R259" s="46" t="s">
        <v>251</v>
      </c>
      <c r="S259" s="46" t="s">
        <v>8</v>
      </c>
      <c r="T259" s="46" t="s">
        <v>253</v>
      </c>
      <c r="U259" s="46" t="s">
        <v>126</v>
      </c>
      <c r="V259" s="46" t="s">
        <v>478</v>
      </c>
      <c r="W259" s="46" t="s">
        <v>127</v>
      </c>
      <c r="X259" s="46" t="s">
        <v>252</v>
      </c>
      <c r="Y259" s="46" t="s">
        <v>112</v>
      </c>
      <c r="Z259" s="46" t="s">
        <v>343</v>
      </c>
      <c r="AA259" s="53" t="s">
        <v>479</v>
      </c>
      <c r="AB259" s="46" t="s">
        <v>254</v>
      </c>
      <c r="AC259" s="46" t="s">
        <v>255</v>
      </c>
      <c r="AD259" s="46" t="s">
        <v>256</v>
      </c>
      <c r="AE259" s="46" t="s">
        <v>257</v>
      </c>
      <c r="AF259" s="46" t="s">
        <v>480</v>
      </c>
      <c r="AG259" s="46" t="s">
        <v>481</v>
      </c>
      <c r="AH259" s="47" t="s">
        <v>9</v>
      </c>
      <c r="AI259" s="46" t="s">
        <v>258</v>
      </c>
      <c r="AJ259" s="46" t="s">
        <v>259</v>
      </c>
      <c r="AK259" s="46" t="s">
        <v>260</v>
      </c>
      <c r="AL259" s="46" t="s">
        <v>261</v>
      </c>
      <c r="AM259" s="46" t="s">
        <v>262</v>
      </c>
      <c r="AN259" s="46" t="s">
        <v>263</v>
      </c>
      <c r="AO259" s="46" t="s">
        <v>264</v>
      </c>
    </row>
    <row r="260" spans="1:41">
      <c r="A260" t="s">
        <v>966</v>
      </c>
      <c r="B260" s="85" t="s">
        <v>967</v>
      </c>
      <c r="C260">
        <v>1939</v>
      </c>
      <c r="D260" t="s">
        <v>968</v>
      </c>
      <c r="E260" t="s">
        <v>968</v>
      </c>
      <c r="G260" t="s">
        <v>969</v>
      </c>
      <c r="H260" t="s">
        <v>1096</v>
      </c>
      <c r="K260">
        <v>20</v>
      </c>
      <c r="U260" s="15">
        <v>150</v>
      </c>
      <c r="AH260">
        <v>0.25</v>
      </c>
      <c r="AJ260">
        <v>0.05</v>
      </c>
    </row>
    <row r="261" spans="1:41">
      <c r="B261" s="71"/>
      <c r="C261">
        <v>1942</v>
      </c>
      <c r="D261" t="s">
        <v>971</v>
      </c>
      <c r="E261" t="s">
        <v>971</v>
      </c>
      <c r="G261" t="s">
        <v>972</v>
      </c>
      <c r="H261" t="s">
        <v>1097</v>
      </c>
      <c r="K261">
        <f>K260+10</f>
        <v>30</v>
      </c>
      <c r="U261">
        <f>U260+50</f>
        <v>200</v>
      </c>
      <c r="AH261">
        <f>AH260+0.25</f>
        <v>0.5</v>
      </c>
      <c r="AJ261">
        <v>0.05</v>
      </c>
    </row>
    <row r="262" spans="1:41">
      <c r="B262" s="71"/>
      <c r="C262">
        <v>1950</v>
      </c>
      <c r="D262" t="s">
        <v>974</v>
      </c>
      <c r="E262" t="s">
        <v>974</v>
      </c>
      <c r="G262" t="s">
        <v>975</v>
      </c>
      <c r="H262" t="s">
        <v>1098</v>
      </c>
      <c r="K262">
        <f t="shared" ref="K262:K268" si="82">K261+10</f>
        <v>40</v>
      </c>
      <c r="U262">
        <f>U261+50</f>
        <v>250</v>
      </c>
      <c r="AH262">
        <f t="shared" ref="AH262:AH268" si="83">AH261+0.25</f>
        <v>0.75</v>
      </c>
      <c r="AJ262">
        <v>0.05</v>
      </c>
    </row>
    <row r="263" spans="1:41">
      <c r="B263" s="71"/>
      <c r="C263">
        <v>1960</v>
      </c>
      <c r="D263" t="s">
        <v>977</v>
      </c>
      <c r="E263" t="s">
        <v>977</v>
      </c>
      <c r="G263" t="s">
        <v>978</v>
      </c>
      <c r="H263" t="s">
        <v>1099</v>
      </c>
      <c r="K263">
        <f t="shared" si="82"/>
        <v>50</v>
      </c>
      <c r="U263">
        <f>U262+50</f>
        <v>300</v>
      </c>
      <c r="AH263">
        <f t="shared" si="83"/>
        <v>1</v>
      </c>
      <c r="AJ263">
        <v>0.05</v>
      </c>
    </row>
    <row r="264" spans="1:41">
      <c r="B264" s="71"/>
      <c r="C264">
        <v>1970</v>
      </c>
      <c r="D264" t="s">
        <v>980</v>
      </c>
      <c r="E264" t="s">
        <v>980</v>
      </c>
      <c r="G264" t="s">
        <v>981</v>
      </c>
      <c r="H264" t="s">
        <v>1100</v>
      </c>
      <c r="K264">
        <f t="shared" si="82"/>
        <v>60</v>
      </c>
      <c r="U264">
        <f>U263+75</f>
        <v>375</v>
      </c>
      <c r="AH264">
        <f t="shared" si="83"/>
        <v>1.25</v>
      </c>
      <c r="AJ264">
        <v>0.05</v>
      </c>
    </row>
    <row r="265" spans="1:41">
      <c r="B265" s="71"/>
      <c r="C265">
        <v>1980</v>
      </c>
      <c r="D265" t="s">
        <v>983</v>
      </c>
      <c r="E265" t="s">
        <v>983</v>
      </c>
      <c r="G265" t="s">
        <v>984</v>
      </c>
      <c r="H265" t="s">
        <v>1101</v>
      </c>
      <c r="K265">
        <f t="shared" si="82"/>
        <v>70</v>
      </c>
      <c r="U265">
        <f>U264+75</f>
        <v>450</v>
      </c>
      <c r="AH265">
        <f t="shared" si="83"/>
        <v>1.5</v>
      </c>
      <c r="AJ265">
        <v>0.05</v>
      </c>
    </row>
    <row r="266" spans="1:41">
      <c r="B266" s="71"/>
      <c r="C266">
        <v>1990</v>
      </c>
      <c r="D266" t="s">
        <v>986</v>
      </c>
      <c r="E266" t="s">
        <v>986</v>
      </c>
      <c r="G266" t="s">
        <v>987</v>
      </c>
      <c r="H266" t="s">
        <v>1102</v>
      </c>
      <c r="K266">
        <f t="shared" si="82"/>
        <v>80</v>
      </c>
      <c r="U266">
        <f>U265+100</f>
        <v>550</v>
      </c>
      <c r="AH266">
        <f t="shared" si="83"/>
        <v>1.75</v>
      </c>
      <c r="AJ266">
        <v>0.05</v>
      </c>
    </row>
    <row r="267" spans="1:41">
      <c r="B267" s="71"/>
      <c r="C267">
        <v>2000</v>
      </c>
      <c r="D267" t="s">
        <v>989</v>
      </c>
      <c r="E267" t="s">
        <v>989</v>
      </c>
      <c r="G267" t="s">
        <v>990</v>
      </c>
      <c r="H267" t="s">
        <v>1103</v>
      </c>
      <c r="K267">
        <f t="shared" si="82"/>
        <v>90</v>
      </c>
      <c r="U267">
        <f t="shared" ref="U267" si="84">U266+100</f>
        <v>650</v>
      </c>
      <c r="AH267">
        <f t="shared" si="83"/>
        <v>2</v>
      </c>
      <c r="AJ267">
        <v>0.05</v>
      </c>
    </row>
    <row r="268" spans="1:41">
      <c r="B268" s="71"/>
      <c r="C268">
        <v>2015</v>
      </c>
      <c r="D268" t="s">
        <v>992</v>
      </c>
      <c r="E268" t="s">
        <v>992</v>
      </c>
      <c r="G268" t="s">
        <v>993</v>
      </c>
      <c r="H268" t="s">
        <v>1104</v>
      </c>
      <c r="K268">
        <f t="shared" si="82"/>
        <v>100</v>
      </c>
      <c r="U268">
        <f>U267+125</f>
        <v>775</v>
      </c>
      <c r="AH268">
        <f t="shared" si="83"/>
        <v>2.25</v>
      </c>
      <c r="AJ268">
        <v>0.05</v>
      </c>
    </row>
    <row r="270" spans="1:41">
      <c r="B270" s="71" t="s">
        <v>995</v>
      </c>
      <c r="C270">
        <v>1980</v>
      </c>
      <c r="D270" t="s">
        <v>996</v>
      </c>
      <c r="E270" t="s">
        <v>996</v>
      </c>
      <c r="G270" t="s">
        <v>997</v>
      </c>
      <c r="H270" t="s">
        <v>1105</v>
      </c>
      <c r="K270">
        <f>K265+8</f>
        <v>78</v>
      </c>
      <c r="U270">
        <v>500</v>
      </c>
      <c r="AH270">
        <f>AH265+0.3</f>
        <v>1.8</v>
      </c>
      <c r="AJ270">
        <v>0.05</v>
      </c>
    </row>
    <row r="271" spans="1:41">
      <c r="B271" s="71"/>
      <c r="C271">
        <v>1990</v>
      </c>
      <c r="D271" t="s">
        <v>999</v>
      </c>
      <c r="E271" t="s">
        <v>999</v>
      </c>
      <c r="G271" t="s">
        <v>1000</v>
      </c>
      <c r="H271" t="s">
        <v>1106</v>
      </c>
      <c r="K271">
        <f t="shared" ref="K271:K273" si="85">K266+8</f>
        <v>88</v>
      </c>
      <c r="U271">
        <f>U270+100</f>
        <v>600</v>
      </c>
      <c r="AH271">
        <f t="shared" ref="AH271:AH273" si="86">AH266+0.3</f>
        <v>2.0499999999999998</v>
      </c>
      <c r="AJ271">
        <v>0.05</v>
      </c>
    </row>
    <row r="272" spans="1:41">
      <c r="B272" s="71"/>
      <c r="C272">
        <v>2000</v>
      </c>
      <c r="D272" t="s">
        <v>1002</v>
      </c>
      <c r="E272" t="s">
        <v>1002</v>
      </c>
      <c r="G272" t="s">
        <v>1003</v>
      </c>
      <c r="H272" t="s">
        <v>1107</v>
      </c>
      <c r="K272">
        <f t="shared" si="85"/>
        <v>98</v>
      </c>
      <c r="U272">
        <f t="shared" ref="U272" si="87">U271+100</f>
        <v>700</v>
      </c>
      <c r="AH272">
        <f t="shared" si="86"/>
        <v>2.2999999999999998</v>
      </c>
      <c r="AJ272">
        <v>0.05</v>
      </c>
    </row>
    <row r="273" spans="2:36">
      <c r="B273" s="71"/>
      <c r="C273">
        <v>2015</v>
      </c>
      <c r="D273" t="s">
        <v>1005</v>
      </c>
      <c r="E273" t="s">
        <v>1005</v>
      </c>
      <c r="G273" t="s">
        <v>1006</v>
      </c>
      <c r="H273" t="s">
        <v>1108</v>
      </c>
      <c r="K273">
        <f t="shared" si="85"/>
        <v>108</v>
      </c>
      <c r="U273">
        <f>U272+125</f>
        <v>825</v>
      </c>
      <c r="AH273">
        <f t="shared" si="86"/>
        <v>2.5499999999999998</v>
      </c>
      <c r="AJ273">
        <v>0.05</v>
      </c>
    </row>
    <row r="274" spans="2:36">
      <c r="B274" s="66"/>
    </row>
    <row r="275" spans="2:36">
      <c r="B275" s="71" t="s">
        <v>1008</v>
      </c>
      <c r="C275">
        <v>1942</v>
      </c>
      <c r="D275" t="s">
        <v>1009</v>
      </c>
      <c r="E275" t="s">
        <v>1010</v>
      </c>
      <c r="G275" t="s">
        <v>1011</v>
      </c>
      <c r="H275" t="s">
        <v>1109</v>
      </c>
      <c r="K275">
        <v>25</v>
      </c>
      <c r="M275">
        <v>5</v>
      </c>
      <c r="U275" s="51">
        <v>200</v>
      </c>
      <c r="AH275">
        <f>AH260*3</f>
        <v>0.75</v>
      </c>
      <c r="AJ275">
        <v>0.05</v>
      </c>
    </row>
    <row r="276" spans="2:36">
      <c r="B276" s="71"/>
      <c r="C276">
        <v>1950</v>
      </c>
      <c r="D276" t="s">
        <v>1013</v>
      </c>
      <c r="E276" t="s">
        <v>1013</v>
      </c>
      <c r="G276" t="s">
        <v>1014</v>
      </c>
      <c r="H276" t="s">
        <v>1110</v>
      </c>
      <c r="K276">
        <f>K275+10</f>
        <v>35</v>
      </c>
      <c r="M276">
        <f>M275+2.5</f>
        <v>7.5</v>
      </c>
      <c r="U276" s="52">
        <v>300</v>
      </c>
      <c r="AH276">
        <f>AH275+0.25</f>
        <v>1</v>
      </c>
      <c r="AJ276">
        <v>0.05</v>
      </c>
    </row>
    <row r="277" spans="2:36">
      <c r="B277" s="71"/>
      <c r="C277">
        <v>1960</v>
      </c>
      <c r="D277" t="s">
        <v>1016</v>
      </c>
      <c r="E277" t="s">
        <v>1016</v>
      </c>
      <c r="G277" t="s">
        <v>1017</v>
      </c>
      <c r="H277" t="s">
        <v>1111</v>
      </c>
      <c r="K277">
        <f t="shared" ref="K277:K281" si="88">K276+10</f>
        <v>45</v>
      </c>
      <c r="M277">
        <f t="shared" ref="M277:M281" si="89">M276+2.5</f>
        <v>10</v>
      </c>
      <c r="U277" s="52">
        <v>400</v>
      </c>
      <c r="AH277">
        <f t="shared" ref="AH277:AH281" si="90">AH276+0.25</f>
        <v>1.25</v>
      </c>
      <c r="AJ277">
        <v>0.05</v>
      </c>
    </row>
    <row r="278" spans="2:36">
      <c r="B278" s="71"/>
      <c r="C278">
        <v>1970</v>
      </c>
      <c r="D278" t="s">
        <v>1019</v>
      </c>
      <c r="E278" t="s">
        <v>1019</v>
      </c>
      <c r="G278" t="s">
        <v>1020</v>
      </c>
      <c r="H278" t="s">
        <v>1112</v>
      </c>
      <c r="K278">
        <f t="shared" si="88"/>
        <v>55</v>
      </c>
      <c r="M278">
        <f t="shared" si="89"/>
        <v>12.5</v>
      </c>
      <c r="U278" s="52">
        <v>415</v>
      </c>
      <c r="AH278">
        <f t="shared" si="90"/>
        <v>1.5</v>
      </c>
      <c r="AJ278">
        <v>0.05</v>
      </c>
    </row>
    <row r="279" spans="2:36">
      <c r="B279" s="71"/>
      <c r="C279">
        <v>1980</v>
      </c>
      <c r="D279" t="s">
        <v>1022</v>
      </c>
      <c r="E279" t="s">
        <v>1022</v>
      </c>
      <c r="G279" t="s">
        <v>1023</v>
      </c>
      <c r="H279" t="s">
        <v>1113</v>
      </c>
      <c r="K279">
        <f t="shared" si="88"/>
        <v>65</v>
      </c>
      <c r="M279">
        <f t="shared" si="89"/>
        <v>15</v>
      </c>
      <c r="U279" s="52">
        <v>430</v>
      </c>
      <c r="AH279">
        <f t="shared" si="90"/>
        <v>1.75</v>
      </c>
      <c r="AJ279">
        <v>0.05</v>
      </c>
    </row>
    <row r="280" spans="2:36">
      <c r="B280" s="71"/>
      <c r="C280">
        <v>1990</v>
      </c>
      <c r="D280" t="s">
        <v>1025</v>
      </c>
      <c r="E280" t="s">
        <v>1025</v>
      </c>
      <c r="G280" t="s">
        <v>1026</v>
      </c>
      <c r="H280" t="s">
        <v>1114</v>
      </c>
      <c r="K280">
        <f>K279+10</f>
        <v>75</v>
      </c>
      <c r="M280">
        <f t="shared" si="89"/>
        <v>17.5</v>
      </c>
      <c r="U280" s="52">
        <v>445</v>
      </c>
      <c r="AH280">
        <f t="shared" si="90"/>
        <v>2</v>
      </c>
      <c r="AJ280">
        <v>0.05</v>
      </c>
    </row>
    <row r="281" spans="2:36">
      <c r="B281" s="71"/>
      <c r="C281">
        <v>2000</v>
      </c>
      <c r="D281" t="s">
        <v>1028</v>
      </c>
      <c r="E281" t="s">
        <v>1028</v>
      </c>
      <c r="G281" t="s">
        <v>1029</v>
      </c>
      <c r="H281" t="s">
        <v>1115</v>
      </c>
      <c r="K281">
        <f t="shared" si="88"/>
        <v>85</v>
      </c>
      <c r="M281">
        <f t="shared" si="89"/>
        <v>20</v>
      </c>
      <c r="U281" s="52">
        <v>460</v>
      </c>
      <c r="AH281">
        <f t="shared" si="90"/>
        <v>2.25</v>
      </c>
      <c r="AJ281">
        <v>0.05</v>
      </c>
    </row>
    <row r="282" spans="2:36">
      <c r="B282" s="66"/>
    </row>
    <row r="283" spans="2:36">
      <c r="B283" s="71" t="s">
        <v>1031</v>
      </c>
      <c r="C283">
        <v>1985</v>
      </c>
      <c r="D283" t="s">
        <v>1032</v>
      </c>
      <c r="E283" t="s">
        <v>1032</v>
      </c>
      <c r="G283" t="s">
        <v>1033</v>
      </c>
      <c r="H283" t="s">
        <v>1116</v>
      </c>
      <c r="K283">
        <f>K279+2</f>
        <v>67</v>
      </c>
      <c r="M283">
        <v>12.5</v>
      </c>
      <c r="U283">
        <v>475</v>
      </c>
      <c r="AH283">
        <f>AH279+0.3</f>
        <v>2.0499999999999998</v>
      </c>
      <c r="AJ283">
        <v>0.05</v>
      </c>
    </row>
    <row r="284" spans="2:36">
      <c r="B284" s="71"/>
      <c r="C284">
        <v>1995</v>
      </c>
      <c r="D284" t="s">
        <v>1035</v>
      </c>
      <c r="E284" t="s">
        <v>1035</v>
      </c>
      <c r="G284" t="s">
        <v>1036</v>
      </c>
      <c r="H284" t="s">
        <v>1117</v>
      </c>
      <c r="K284">
        <f t="shared" ref="K284:K285" si="91">K280+2</f>
        <v>77</v>
      </c>
      <c r="M284">
        <f>M283+2.5</f>
        <v>15</v>
      </c>
      <c r="U284">
        <v>490</v>
      </c>
      <c r="AH284">
        <f>AH283+0.25</f>
        <v>2.2999999999999998</v>
      </c>
      <c r="AJ284">
        <v>0.05</v>
      </c>
    </row>
    <row r="285" spans="2:36">
      <c r="B285" s="71"/>
      <c r="C285">
        <v>2005</v>
      </c>
      <c r="D285" t="s">
        <v>1038</v>
      </c>
      <c r="E285" t="s">
        <v>1038</v>
      </c>
      <c r="G285" t="s">
        <v>1039</v>
      </c>
      <c r="H285" t="s">
        <v>1118</v>
      </c>
      <c r="K285">
        <f t="shared" si="91"/>
        <v>87</v>
      </c>
      <c r="M285">
        <f t="shared" ref="M285" si="92">M284+2.5</f>
        <v>17.5</v>
      </c>
      <c r="U285">
        <v>505</v>
      </c>
      <c r="AH285">
        <f>AH284+0.25</f>
        <v>2.5499999999999998</v>
      </c>
      <c r="AJ285">
        <v>0.05</v>
      </c>
    </row>
    <row r="286" spans="2:36">
      <c r="B286" s="66"/>
    </row>
    <row r="287" spans="2:36">
      <c r="B287" s="71" t="s">
        <v>1041</v>
      </c>
      <c r="C287">
        <v>1985</v>
      </c>
      <c r="D287" t="s">
        <v>1042</v>
      </c>
      <c r="E287" t="s">
        <v>1042</v>
      </c>
      <c r="G287" t="s">
        <v>1043</v>
      </c>
      <c r="H287" t="s">
        <v>1119</v>
      </c>
      <c r="K287">
        <f>K279-7.5</f>
        <v>57.5</v>
      </c>
      <c r="M287">
        <f>M279+7.5</f>
        <v>22.5</v>
      </c>
      <c r="U287">
        <v>400</v>
      </c>
      <c r="AJ287">
        <v>0.05</v>
      </c>
    </row>
    <row r="288" spans="2:36">
      <c r="B288" s="71"/>
      <c r="C288">
        <v>1995</v>
      </c>
      <c r="D288" t="s">
        <v>1045</v>
      </c>
      <c r="E288" t="s">
        <v>1045</v>
      </c>
      <c r="G288" t="s">
        <v>1046</v>
      </c>
      <c r="H288" t="s">
        <v>1120</v>
      </c>
      <c r="K288">
        <f>K287+5</f>
        <v>62.5</v>
      </c>
      <c r="M288">
        <f>M287+2.5</f>
        <v>25</v>
      </c>
      <c r="U288">
        <v>410</v>
      </c>
      <c r="AJ288">
        <v>0.05</v>
      </c>
    </row>
    <row r="289" spans="2:36">
      <c r="B289" s="71"/>
      <c r="C289">
        <v>2005</v>
      </c>
      <c r="D289" t="s">
        <v>1048</v>
      </c>
      <c r="E289" t="s">
        <v>1048</v>
      </c>
      <c r="G289" t="s">
        <v>1049</v>
      </c>
      <c r="H289" t="s">
        <v>1121</v>
      </c>
      <c r="K289">
        <f>K288+5</f>
        <v>67.5</v>
      </c>
      <c r="M289">
        <f>M288+2.5</f>
        <v>27.5</v>
      </c>
      <c r="U289">
        <v>420</v>
      </c>
      <c r="AJ289">
        <v>0.05</v>
      </c>
    </row>
    <row r="290" spans="2:36">
      <c r="B290" s="66"/>
    </row>
    <row r="291" spans="2:36">
      <c r="B291" s="66" t="s">
        <v>1051</v>
      </c>
      <c r="C291">
        <v>1955</v>
      </c>
      <c r="D291" t="s">
        <v>1052</v>
      </c>
      <c r="E291" t="s">
        <v>1052</v>
      </c>
      <c r="G291" t="s">
        <v>1053</v>
      </c>
      <c r="H291" t="s">
        <v>1122</v>
      </c>
      <c r="K291">
        <v>35</v>
      </c>
      <c r="M291">
        <v>12.5</v>
      </c>
      <c r="U291">
        <v>120</v>
      </c>
      <c r="AJ291">
        <v>0.05</v>
      </c>
    </row>
    <row r="292" spans="2:36">
      <c r="B292" s="66"/>
    </row>
    <row r="293" spans="2:36">
      <c r="B293" s="71" t="s">
        <v>1055</v>
      </c>
      <c r="C293">
        <v>1965</v>
      </c>
      <c r="D293" t="s">
        <v>1056</v>
      </c>
      <c r="E293" t="s">
        <v>1057</v>
      </c>
      <c r="G293" t="s">
        <v>1058</v>
      </c>
      <c r="H293" t="s">
        <v>1123</v>
      </c>
      <c r="K293">
        <v>75</v>
      </c>
      <c r="M293">
        <v>2.5</v>
      </c>
      <c r="U293" s="51">
        <v>400</v>
      </c>
      <c r="AJ293">
        <v>0.05</v>
      </c>
    </row>
    <row r="294" spans="2:36">
      <c r="B294" s="71"/>
      <c r="C294">
        <v>1975</v>
      </c>
      <c r="D294" t="s">
        <v>1060</v>
      </c>
      <c r="E294" t="s">
        <v>1061</v>
      </c>
      <c r="G294" t="s">
        <v>1062</v>
      </c>
      <c r="H294" t="s">
        <v>1124</v>
      </c>
      <c r="K294">
        <v>85</v>
      </c>
      <c r="M294">
        <f>M293+1.5</f>
        <v>4</v>
      </c>
      <c r="U294" s="52">
        <v>500</v>
      </c>
      <c r="AJ294">
        <v>0.05</v>
      </c>
    </row>
    <row r="295" spans="2:36">
      <c r="B295" s="71"/>
      <c r="C295">
        <v>1985</v>
      </c>
      <c r="D295" t="s">
        <v>1064</v>
      </c>
      <c r="E295" t="s">
        <v>1065</v>
      </c>
      <c r="G295" t="s">
        <v>1066</v>
      </c>
      <c r="H295" t="s">
        <v>1125</v>
      </c>
      <c r="K295">
        <v>95</v>
      </c>
      <c r="M295">
        <f t="shared" ref="M295:M296" si="93">M294+1.5</f>
        <v>5.5</v>
      </c>
      <c r="U295" s="52">
        <v>600</v>
      </c>
      <c r="AJ295">
        <v>0.05</v>
      </c>
    </row>
    <row r="296" spans="2:36">
      <c r="B296" s="71"/>
      <c r="C296">
        <v>1995</v>
      </c>
      <c r="D296" t="s">
        <v>1068</v>
      </c>
      <c r="E296" t="s">
        <v>1069</v>
      </c>
      <c r="G296" t="s">
        <v>1070</v>
      </c>
      <c r="H296" t="s">
        <v>1126</v>
      </c>
      <c r="K296">
        <v>105</v>
      </c>
      <c r="M296">
        <f t="shared" si="93"/>
        <v>7</v>
      </c>
      <c r="U296" s="52">
        <v>700</v>
      </c>
      <c r="AJ296">
        <v>0.05</v>
      </c>
    </row>
    <row r="298" spans="2:36">
      <c r="B298" s="71" t="s">
        <v>1072</v>
      </c>
      <c r="C298">
        <v>1942</v>
      </c>
      <c r="D298" t="s">
        <v>1073</v>
      </c>
      <c r="E298" t="s">
        <v>1073</v>
      </c>
      <c r="G298" t="s">
        <v>1074</v>
      </c>
      <c r="H298" t="s">
        <v>1127</v>
      </c>
      <c r="K298">
        <v>2.5</v>
      </c>
      <c r="M298">
        <v>10</v>
      </c>
      <c r="U298" s="58">
        <v>20</v>
      </c>
      <c r="AJ298">
        <v>0.05</v>
      </c>
    </row>
    <row r="299" spans="2:36">
      <c r="B299" s="71"/>
      <c r="C299">
        <v>1955</v>
      </c>
      <c r="D299" t="s">
        <v>1076</v>
      </c>
      <c r="E299" t="s">
        <v>1076</v>
      </c>
      <c r="G299" t="s">
        <v>1077</v>
      </c>
      <c r="H299" t="s">
        <v>1128</v>
      </c>
      <c r="K299">
        <f>K298+2.5</f>
        <v>5</v>
      </c>
      <c r="M299">
        <f>M298+5</f>
        <v>15</v>
      </c>
      <c r="U299" s="58">
        <v>25</v>
      </c>
      <c r="AJ299">
        <v>0.05</v>
      </c>
    </row>
    <row r="300" spans="2:36">
      <c r="B300" s="71"/>
      <c r="C300">
        <v>1970</v>
      </c>
      <c r="D300" t="s">
        <v>1079</v>
      </c>
      <c r="E300" t="s">
        <v>1079</v>
      </c>
      <c r="G300" t="s">
        <v>1080</v>
      </c>
      <c r="H300" t="s">
        <v>1129</v>
      </c>
      <c r="K300">
        <f t="shared" ref="K300:K302" si="94">K299+2.5</f>
        <v>7.5</v>
      </c>
      <c r="M300">
        <f t="shared" ref="M300:M302" si="95">M299+5</f>
        <v>20</v>
      </c>
      <c r="U300" s="58">
        <v>30</v>
      </c>
      <c r="AJ300">
        <v>0.05</v>
      </c>
    </row>
    <row r="301" spans="2:36">
      <c r="B301" s="71"/>
      <c r="C301">
        <v>1985</v>
      </c>
      <c r="D301" t="s">
        <v>1082</v>
      </c>
      <c r="E301" t="s">
        <v>1082</v>
      </c>
      <c r="G301" t="s">
        <v>1083</v>
      </c>
      <c r="H301" t="s">
        <v>1130</v>
      </c>
      <c r="K301">
        <f t="shared" si="94"/>
        <v>10</v>
      </c>
      <c r="M301">
        <f t="shared" si="95"/>
        <v>25</v>
      </c>
      <c r="U301" s="58">
        <v>35</v>
      </c>
      <c r="AJ301">
        <v>0.05</v>
      </c>
    </row>
    <row r="302" spans="2:36">
      <c r="B302" s="71"/>
      <c r="C302">
        <v>2015</v>
      </c>
      <c r="D302" t="s">
        <v>1085</v>
      </c>
      <c r="E302" t="s">
        <v>1085</v>
      </c>
      <c r="G302" t="s">
        <v>1086</v>
      </c>
      <c r="H302" t="s">
        <v>1131</v>
      </c>
      <c r="K302">
        <f t="shared" si="94"/>
        <v>12.5</v>
      </c>
      <c r="M302">
        <f t="shared" si="95"/>
        <v>30</v>
      </c>
      <c r="U302" s="58">
        <v>40</v>
      </c>
      <c r="AJ302">
        <v>0.05</v>
      </c>
    </row>
    <row r="304" spans="2:36">
      <c r="B304" s="71" t="s">
        <v>1132</v>
      </c>
      <c r="C304">
        <v>1965</v>
      </c>
      <c r="D304" t="s">
        <v>1133</v>
      </c>
      <c r="E304" t="s">
        <v>1057</v>
      </c>
      <c r="G304" t="s">
        <v>1134</v>
      </c>
      <c r="H304" t="s">
        <v>1135</v>
      </c>
      <c r="M304">
        <v>3</v>
      </c>
      <c r="U304">
        <v>500</v>
      </c>
    </row>
    <row r="305" spans="1:21">
      <c r="B305" s="71"/>
      <c r="C305">
        <v>1975</v>
      </c>
      <c r="D305" t="s">
        <v>1136</v>
      </c>
      <c r="E305" t="s">
        <v>1061</v>
      </c>
      <c r="G305" t="s">
        <v>1137</v>
      </c>
      <c r="H305" t="s">
        <v>1138</v>
      </c>
      <c r="M305">
        <f>M304+1.5</f>
        <v>4.5</v>
      </c>
      <c r="U305">
        <v>650</v>
      </c>
    </row>
    <row r="306" spans="1:21">
      <c r="B306" s="71"/>
      <c r="C306">
        <v>1985</v>
      </c>
      <c r="D306" t="s">
        <v>1139</v>
      </c>
      <c r="E306" t="s">
        <v>1065</v>
      </c>
      <c r="G306" t="s">
        <v>1140</v>
      </c>
      <c r="H306" t="s">
        <v>1141</v>
      </c>
      <c r="M306">
        <f>M305+1.5</f>
        <v>6</v>
      </c>
      <c r="U306">
        <v>800</v>
      </c>
    </row>
    <row r="307" spans="1:21">
      <c r="B307" s="71"/>
      <c r="C307">
        <v>1995</v>
      </c>
      <c r="D307" t="s">
        <v>1142</v>
      </c>
      <c r="E307" t="s">
        <v>1069</v>
      </c>
      <c r="G307" t="s">
        <v>1143</v>
      </c>
      <c r="H307" t="s">
        <v>1144</v>
      </c>
      <c r="M307">
        <f>M306+1.5</f>
        <v>7.5</v>
      </c>
      <c r="U307">
        <v>1000</v>
      </c>
    </row>
    <row r="308" spans="1:21">
      <c r="B308" s="71"/>
      <c r="C308">
        <v>2005</v>
      </c>
      <c r="D308" t="s">
        <v>1145</v>
      </c>
      <c r="E308" t="s">
        <v>1146</v>
      </c>
      <c r="G308" t="s">
        <v>1147</v>
      </c>
      <c r="H308" t="s">
        <v>1148</v>
      </c>
      <c r="M308">
        <f>M307+1.5</f>
        <v>9</v>
      </c>
      <c r="U308">
        <v>1200</v>
      </c>
    </row>
    <row r="311" spans="1:21">
      <c r="A311" t="s">
        <v>1088</v>
      </c>
    </row>
    <row r="319" spans="1:21">
      <c r="A319" t="s">
        <v>1089</v>
      </c>
    </row>
    <row r="321" spans="1:1">
      <c r="A321" t="s">
        <v>1149</v>
      </c>
    </row>
    <row r="323" spans="1:42">
      <c r="A323" s="15" t="inlineStr">
        <is>
          <t xml:space="preserve">Script-Owned</t>
        </is>
      </c>
      <c r="B323" s="15" t="inlineStr">
        <is>
          <t xml:space="preserve">tank_turret_type</t>
        </is>
      </c>
      <c r="C323" s="15" t="inlineStr">
        <is>
          <t xml:space="preserve">1918</t>
        </is>
      </c>
      <c r="D323" s="15" t="inlineStr">
        <is>
          <t xml:space="preserve">conventional_turret</t>
        </is>
      </c>
      <c r="E323" s="15" t="inlineStr">
        <is>
          <t xml:space="preserve">nsb_iw_armored_vehicles</t>
        </is>
      </c>
      <c r="F323" s="15" t="inlineStr">
        <is>
          <t xml:space="preserve">nsb_iw_armored_vehicles</t>
        </is>
      </c>
      <c r="G323" s="15" t="inlineStr">
        <is>
          <t xml:space="preserve">tank_turret_type</t>
        </is>
      </c>
      <c r="H323" s="15" t="inlineStr">
        <is>
          <t xml:space="preserve">conventional_turret</t>
        </is>
      </c>
      <c r="I323" s="15" t="inlineStr">
        <is>
          <t xml:space="preserve">15%</t>
        </is>
      </c>
      <c r="AH323" s="15" t="inlineStr">
        <is>
          <t xml:space="preserve">1</t>
        </is>
      </c>
      <c r="AJ323" s="15">
        <v>0.5</v>
      </c>
      <c r="AP323" s="15" t="inlineStr">
        <is>
          <t xml:space="preserve">parent=none; unlock=nsb_iw_armored_vehicles@1918; xp_cost=present; dismantle_cost_ic=0.5; conversion=none; operations=add=build_cost_ic:1,reliability:0.15; exclusions=category,eligibility,abbreviation,display</t>
        </is>
      </c>
    </row>
    <row r="324" spans="1:42">
      <c r="A324" s="15" t="inlineStr">
        <is>
          <t xml:space="preserve">Script-Owned</t>
        </is>
      </c>
      <c r="B324" s="15" t="inlineStr">
        <is>
          <t xml:space="preserve">tank_secondary_turret</t>
        </is>
      </c>
      <c r="C324" s="15" t="inlineStr">
        <is>
          <t xml:space="preserve">1918</t>
        </is>
      </c>
      <c r="D324" s="15" t="inlineStr">
        <is>
          <t xml:space="preserve">cwic_coaxial_mg</t>
        </is>
      </c>
      <c r="E324" s="15" t="inlineStr">
        <is>
          <t xml:space="preserve">nsb_iw_armored_vehicles</t>
        </is>
      </c>
      <c r="F324" s="15" t="inlineStr">
        <is>
          <t xml:space="preserve">nsb_iw_armored_vehicles</t>
        </is>
      </c>
      <c r="G324" s="15" t="inlineStr">
        <is>
          <t xml:space="preserve">tank_secondary_turret</t>
        </is>
      </c>
      <c r="H324" s="15" t="inlineStr">
        <is>
          <t xml:space="preserve">cwic_coaxial_mg</t>
        </is>
      </c>
      <c r="I324" t="inlineStr">
        <is>
          <t>-0.5%</t>
        </is>
      </c>
      <c r="M324" s="15" t="inlineStr">
        <is>
          <t xml:space="preserve">0.5</t>
        </is>
      </c>
      <c r="AH324" s="15" t="inlineStr">
        <is>
          <t xml:space="preserve">0.25</t>
        </is>
      </c>
      <c r="AJ324" s="15">
        <v>0.125</v>
      </c>
      <c r="AP324" s="15" t="inlineStr">
        <is>
          <t xml:space="preserve">parent=none; unlock=nsb_iw_armored_vehicles@1918; xp_cost=present; dismantle_cost_ic=0.125; conversion=none; operations=add=build_cost_ic:0.25,soft_attack:0.5; exclusions=category,eligibility,abbreviation,display</t>
        </is>
      </c>
    </row>
    <row r="325" spans="1:42">
      <c r="A325" s="15" t="inlineStr">
        <is>
          <t xml:space="preserve">Script-Owned</t>
        </is>
      </c>
      <c r="B325" s="15" t="inlineStr">
        <is>
          <t xml:space="preserve">tank_secondary_turret</t>
        </is>
      </c>
      <c r="C325" s="15" t="inlineStr">
        <is>
          <t xml:space="preserve">1918</t>
        </is>
      </c>
      <c r="D325" s="15" t="inlineStr">
        <is>
          <t xml:space="preserve">cwic_hull_mg</t>
        </is>
      </c>
      <c r="E325" s="15" t="inlineStr">
        <is>
          <t xml:space="preserve">nsb_iw_armored_vehicles</t>
        </is>
      </c>
      <c r="F325" s="15" t="inlineStr">
        <is>
          <t xml:space="preserve">nsb_iw_armored_vehicles</t>
        </is>
      </c>
      <c r="G325" s="15" t="inlineStr">
        <is>
          <t xml:space="preserve">tank_secondary_turret</t>
        </is>
      </c>
      <c r="H325" s="15" t="inlineStr">
        <is>
          <t xml:space="preserve">cwic_hull_mg</t>
        </is>
      </c>
      <c r="I325" t="inlineStr">
        <is>
          <t>-0.5%</t>
        </is>
      </c>
      <c r="M325" s="15" t="inlineStr">
        <is>
          <t xml:space="preserve">0.5</t>
        </is>
      </c>
      <c r="Q325" s="15" t="inlineStr">
        <is>
          <t>0.25</t>
        </is>
      </c>
      <c r="AH325" s="15" t="inlineStr">
        <is>
          <t xml:space="preserve">0.35</t>
        </is>
      </c>
      <c r="AJ325" s="15">
        <v>0.175</v>
      </c>
      <c r="AP325" s="15" t="inlineStr">
        <is>
          <t xml:space="preserve">parent=none; unlock=nsb_iw_armored_vehicles@1918; xp_cost=present; dismantle_cost_ic=0.175; conversion=none; operations=add=build_cost_ic:0.35,defense:0.5,soft_attack:0.5; exclusions=category,eligibility,abbreviation,display</t>
        </is>
      </c>
    </row>
    <row r="326" spans="1:42">
      <c r="A326" s="15" t="inlineStr">
        <is>
          <t xml:space="preserve">Script-Owned</t>
        </is>
      </c>
      <c r="B326" s="15" t="inlineStr">
        <is>
          <t xml:space="preserve">tank_secondary_turret</t>
        </is>
      </c>
      <c r="C326" s="15" t="inlineStr">
        <is>
          <t xml:space="preserve">1955</t>
        </is>
      </c>
      <c r="D326" s="15" t="inlineStr">
        <is>
          <t xml:space="preserve">cwic_secondary_autocannon</t>
        </is>
      </c>
      <c r="E326" s="15" t="inlineStr">
        <is>
          <t xml:space="preserve">nsb_aiming_devices2</t>
        </is>
      </c>
      <c r="F326" s="15" t="inlineStr">
        <is>
          <t xml:space="preserve">nsb_aiming_devices2</t>
        </is>
      </c>
      <c r="G326" s="15" t="inlineStr">
        <is>
          <t xml:space="preserve">tank_secondary_turret</t>
        </is>
      </c>
      <c r="H326" s="15" t="inlineStr">
        <is>
          <t xml:space="preserve">cwic_secondary_autocannon</t>
        </is>
      </c>
      <c r="I326" s="15" t="inlineStr">
        <is>
          <t xml:space="preserve">-2.5%</t>
        </is>
      </c>
      <c r="K326" s="15" t="inlineStr">
        <is>
          <t xml:space="preserve">1</t>
        </is>
      </c>
      <c r="M326" s="15" t="inlineStr">
        <is>
          <t xml:space="preserve">2</t>
        </is>
      </c>
      <c r="U326" s="15" t="inlineStr">
        <is>
          <t xml:space="preserve">2</t>
        </is>
      </c>
      <c r="AH326" s="15" t="inlineStr">
        <is>
          <t xml:space="preserve">1.5</t>
        </is>
      </c>
      <c r="AJ326" s="15">
        <v>0.75</v>
      </c>
      <c r="AP326" s="15" t="inlineStr">
        <is>
          <t xml:space="preserve">parent=none; unlock=nsb_aiming_devices2@1955; xp_cost=present; dismantle_cost_ic=0.75; conversion=none; operations=add=ap_attack:2,build_cost_ic:1.5,hard_attack:1,reliability:-0.025,soft_attack:2; exclusions=category,eligibility,abbreviation,display</t>
        </is>
      </c>
    </row>
    <row r="327" spans="1:42">
      <c r="A327" s="15" t="inlineStr">
        <is>
          <t xml:space="preserve">Script-Owned</t>
        </is>
      </c>
      <c r="B327" s="15" t="inlineStr">
        <is>
          <t xml:space="preserve">tank_secondary_turret</t>
        </is>
      </c>
      <c r="C327" s="15" t="inlineStr">
        <is>
          <t xml:space="preserve">1918</t>
        </is>
      </c>
      <c r="D327" s="15" t="inlineStr">
        <is>
          <t xml:space="preserve">cwic_secondary_hmg</t>
        </is>
      </c>
      <c r="E327" s="15" t="inlineStr">
        <is>
          <t xml:space="preserve">nsb_iw_armored_vehicles</t>
        </is>
      </c>
      <c r="F327" s="15" t="inlineStr">
        <is>
          <t xml:space="preserve">nsb_iw_armored_vehicles</t>
        </is>
      </c>
      <c r="G327" s="15" t="inlineStr">
        <is>
          <t xml:space="preserve">tank_secondary_turret</t>
        </is>
      </c>
      <c r="H327" s="15" t="inlineStr">
        <is>
          <t xml:space="preserve">cwic_secondary_hmg</t>
        </is>
      </c>
      <c r="I327" t="inlineStr">
        <is>
          <t>-1%</t>
        </is>
      </c>
      <c r="K327" s="15" t="inlineStr">
        <is>
          <t xml:space="preserve">0.25</t>
        </is>
      </c>
      <c r="M327" s="15" t="inlineStr">
        <is>
          <t xml:space="preserve">1</t>
        </is>
      </c>
      <c r="AH327" s="15" t="inlineStr">
        <is>
          <t xml:space="preserve">0.75</t>
        </is>
      </c>
      <c r="AJ327" s="15">
        <v>0.375</v>
      </c>
      <c r="AP327" s="15" t="inlineStr">
        <is>
          <t xml:space="preserve">parent=none; unlock=nsb_iw_armored_vehicles@1918; xp_cost=present; dismantle_cost_ic=0.375; conversion=none; operations=add=build_cost_ic:0.75,hard_attack:0.25,soft_attack:1; exclusions=category,eligibility,abbreviation,display</t>
        </is>
      </c>
    </row>
    <row r="328" spans="1:42">
      <c r="A328" s="15" t="inlineStr">
        <is>
          <t xml:space="preserve">Script-Owned</t>
        </is>
      </c>
      <c r="B328" s="15" t="inlineStr">
        <is>
          <t xml:space="preserve">tank_turret_type</t>
        </is>
      </c>
      <c r="C328" s="15" t="inlineStr">
        <is>
          <t xml:space="preserve">1918</t>
        </is>
      </c>
      <c r="D328" s="15" t="inlineStr">
        <is>
          <t xml:space="preserve">external_gun</t>
        </is>
      </c>
      <c r="E328" s="15" t="inlineStr">
        <is>
          <t xml:space="preserve">nsb_iw_armored_vehicles</t>
        </is>
      </c>
      <c r="F328" s="15" t="inlineStr">
        <is>
          <t xml:space="preserve">nsb_iw_armored_vehicles</t>
        </is>
      </c>
      <c r="G328" s="15" t="inlineStr">
        <is>
          <t xml:space="preserve">tank_turret_type</t>
        </is>
      </c>
      <c r="H328" s="15" t="inlineStr">
        <is>
          <t xml:space="preserve">external_gun</t>
        </is>
      </c>
      <c r="I328" s="15" t="inlineStr">
        <is>
          <t xml:space="preserve">5%</t>
        </is>
      </c>
      <c r="P328" s="15" t="inlineStr">
        <is>
          <t xml:space="preserve">-5%</t>
        </is>
      </c>
      <c r="R328" s="15" t="inlineStr">
        <is>
          <t xml:space="preserve">10%</t>
        </is>
      </c>
      <c r="AH328" s="15" t="inlineStr">
        <is>
          <t xml:space="preserve">1.25</t>
        </is>
      </c>
      <c r="AJ328" s="15">
        <v>0.625</v>
      </c>
      <c r="AP328" s="15" t="inlineStr">
        <is>
          <t xml:space="preserve">parent=open_gun; unlock=nsb_iw_armored_vehicles@1918; xp_cost=present; dismantle_cost_ic=0.625; conversion=none; operations=add=build_cost_ic:1.25,reliability:0.05; multiply=breakthrough:-0.05,defense:0.1; exclusions=category,eligibility,abbreviation,display</t>
        </is>
      </c>
    </row>
    <row r="329" spans="1:42">
      <c r="A329" s="15" t="inlineStr">
        <is>
          <t xml:space="preserve">Script-Owned</t>
        </is>
      </c>
      <c r="B329" s="15" t="inlineStr">
        <is>
          <t xml:space="preserve">tank_light_turret_type</t>
        </is>
      </c>
      <c r="C329" s="15" t="inlineStr">
        <is>
          <t xml:space="preserve">1918</t>
        </is>
      </c>
      <c r="D329" s="15" t="inlineStr">
        <is>
          <t xml:space="preserve">fixed_superstructure</t>
        </is>
      </c>
      <c r="E329" s="15" t="inlineStr">
        <is>
          <t xml:space="preserve">nsb_iw_armored_vehicles</t>
        </is>
      </c>
      <c r="F329" s="15" t="inlineStr">
        <is>
          <t xml:space="preserve">nsb_iw_armored_vehicles</t>
        </is>
      </c>
      <c r="G329" s="15" t="inlineStr">
        <is>
          <t xml:space="preserve">tank_light_turret_type</t>
        </is>
      </c>
      <c r="H329" s="15" t="inlineStr">
        <is>
          <t xml:space="preserve">fixed_superstructure</t>
        </is>
      </c>
      <c r="I329" s="15" t="inlineStr">
        <is>
          <t xml:space="preserve">20%</t>
        </is>
      </c>
      <c r="P329" s="15" t="inlineStr">
        <is>
          <t xml:space="preserve">-15%</t>
        </is>
      </c>
      <c r="R329" s="15" t="inlineStr">
        <is>
          <t xml:space="preserve">5%</t>
        </is>
      </c>
      <c r="AH329" s="15" t="inlineStr">
        <is>
          <t xml:space="preserve">0.75</t>
        </is>
      </c>
      <c r="AJ329" s="15">
        <v>0.375</v>
      </c>
      <c r="AP329" s="15" t="inlineStr">
        <is>
          <t xml:space="preserve">parent=external_gun; unlock=nsb_iw_armored_vehicles@1918; xp_cost=present; dismantle_cost_ic=0.375; conversion=none; operations=add=build_cost_ic:0.75,reliability:0.2; multiply=breakthrough:-0.15,defense:0.05; exclusions=category,eligibility,abbreviation,display</t>
        </is>
      </c>
    </row>
    <row r="330" spans="1:42">
      <c r="A330" s="15" t="inlineStr">
        <is>
          <t xml:space="preserve">Script-Owned</t>
        </is>
      </c>
      <c r="B330" s="15" t="inlineStr">
        <is>
          <t xml:space="preserve">tank_flamethrower</t>
        </is>
      </c>
      <c r="C330" s="15" t="inlineStr">
        <is>
          <t xml:space="preserve">1918</t>
        </is>
      </c>
      <c r="D330" s="15" t="inlineStr">
        <is>
          <t xml:space="preserve">flamethrower</t>
        </is>
      </c>
      <c r="E330" s="15" t="inlineStr">
        <is>
          <t xml:space="preserve">nsb_iw_armored_vehicles</t>
        </is>
      </c>
      <c r="F330" s="15" t="inlineStr">
        <is>
          <t xml:space="preserve">nsb_iw_armored_vehicles</t>
        </is>
      </c>
      <c r="G330" s="15" t="inlineStr">
        <is>
          <t xml:space="preserve">tank_flamethrower</t>
        </is>
      </c>
      <c r="H330" s="15" t="inlineStr">
        <is>
          <t xml:space="preserve">flamethrower</t>
        </is>
      </c>
      <c r="I330" s="15" t="inlineStr">
        <is>
          <t xml:space="preserve">-5%</t>
        </is>
      </c>
      <c r="M330" s="15" t="inlineStr">
        <is>
          <t xml:space="preserve">5</t>
        </is>
      </c>
      <c r="AH330" s="15" t="inlineStr">
        <is>
          <t xml:space="preserve">0.5</t>
        </is>
      </c>
      <c r="AJ330" s="15">
        <v>0.5</v>
      </c>
      <c r="AP330" s="15" t="inlineStr">
        <is>
          <t xml:space="preserve">parent=none; unlock=nsb_iw_armored_vehicles@1918; xp_cost=present; dismantle_cost_ic=0.5; conversion=module_category=tank_small_main_armament,convert_cost_ic=0.5; operations=add=build_cost_ic:0.5,reliability:-0.05,soft_attack:5; exclusions=category,eligibility,abbreviation,display</t>
        </is>
      </c>
    </row>
    <row r="331" spans="1:42">
      <c r="A331" s="15" t="inlineStr">
        <is>
          <t xml:space="preserve">Script-Owned</t>
        </is>
      </c>
      <c r="B331" s="15" t="inlineStr">
        <is>
          <t xml:space="preserve">tank_heavy_turret_type</t>
        </is>
      </c>
      <c r="C331" s="15" t="inlineStr">
        <is>
          <t xml:space="preserve">1918</t>
        </is>
      </c>
      <c r="D331" s="15" t="inlineStr">
        <is>
          <t xml:space="preserve">heavy_fixed_superstructure</t>
        </is>
      </c>
      <c r="E331" s="15" t="inlineStr">
        <is>
          <t xml:space="preserve">nsb_iw_armored_vehicles</t>
        </is>
      </c>
      <c r="F331" s="15" t="inlineStr">
        <is>
          <t xml:space="preserve">nsb_iw_armored_vehicles</t>
        </is>
      </c>
      <c r="G331" s="15" t="inlineStr">
        <is>
          <t xml:space="preserve">tank_heavy_turret_type</t>
        </is>
      </c>
      <c r="H331" s="15" t="inlineStr">
        <is>
          <t xml:space="preserve">heavy_fixed_superstructure</t>
        </is>
      </c>
      <c r="I331" s="15" t="inlineStr">
        <is>
          <t xml:space="preserve">20%</t>
        </is>
      </c>
      <c r="P331" s="15" t="inlineStr">
        <is>
          <t xml:space="preserve">-15%</t>
        </is>
      </c>
      <c r="R331" s="15" t="inlineStr">
        <is>
          <t xml:space="preserve">5%</t>
        </is>
      </c>
      <c r="AH331" s="15" t="inlineStr">
        <is>
          <t xml:space="preserve">1.25</t>
        </is>
      </c>
      <c r="AJ331" s="15">
        <v>0.625</v>
      </c>
      <c r="AP331" s="15" t="inlineStr">
        <is>
          <t xml:space="preserve">parent=external_gun; unlock=nsb_iw_armored_vehicles@1918; xp_cost=present; dismantle_cost_ic=0.625; conversion=none; operations=add=build_cost_ic:1.25,reliability:0.2; multiply=breakthrough:-0.15,defense:0.05; exclusions=category,eligibility,abbreviation,display</t>
        </is>
      </c>
    </row>
    <row r="332" spans="1:42">
      <c r="A332" s="15" t="inlineStr">
        <is>
          <t xml:space="preserve">Script-Owned</t>
        </is>
      </c>
      <c r="B332" s="15" t="inlineStr">
        <is>
          <t xml:space="preserve">tank_heavy_turret_type</t>
        </is>
      </c>
      <c r="C332" s="15" t="inlineStr">
        <is>
          <t xml:space="preserve">1918</t>
        </is>
      </c>
      <c r="D332" s="15" t="inlineStr">
        <is>
          <t xml:space="preserve">heavy_open_gun</t>
        </is>
      </c>
      <c r="E332" s="15" t="inlineStr">
        <is>
          <t xml:space="preserve">nsb_iw_armored_vehicles</t>
        </is>
      </c>
      <c r="F332" s="15" t="inlineStr">
        <is>
          <t xml:space="preserve">nsb_iw_armored_vehicles</t>
        </is>
      </c>
      <c r="G332" s="15" t="inlineStr">
        <is>
          <t xml:space="preserve">tank_heavy_turret_type</t>
        </is>
      </c>
      <c r="H332" s="15" t="inlineStr">
        <is>
          <t xml:space="preserve">heavy_open_gun</t>
        </is>
      </c>
      <c r="I332" s="15" t="inlineStr">
        <is>
          <t xml:space="preserve">10%</t>
        </is>
      </c>
      <c r="P332" s="15" t="inlineStr">
        <is>
          <t xml:space="preserve">-20%</t>
        </is>
      </c>
      <c r="R332" s="15" t="inlineStr">
        <is>
          <t xml:space="preserve">-10%</t>
        </is>
      </c>
      <c r="AH332" s="15" t="inlineStr">
        <is>
          <t xml:space="preserve">1</t>
        </is>
      </c>
      <c r="AJ332" s="15">
        <v>0.5</v>
      </c>
      <c r="AP332" s="15" t="inlineStr">
        <is>
          <t xml:space="preserve">parent=medium_open_gun; unlock=nsb_iw_armored_vehicles@1918; xp_cost=present; dismantle_cost_ic=0.5; conversion=none; operations=add=build_cost_ic:1,reliability:0.1; multiply=breakthrough:-0.2,defense:-0.1; exclusions=category,eligibility,abbreviation,display</t>
        </is>
      </c>
    </row>
    <row r="333" spans="1:42">
      <c r="A333" s="15" t="inlineStr">
        <is>
          <t xml:space="preserve">Script-Owned</t>
        </is>
      </c>
      <c r="B333" s="15" t="inlineStr">
        <is>
          <t xml:space="preserve">tank_turret_type</t>
        </is>
      </c>
      <c r="C333" s="15" t="inlineStr">
        <is>
          <t xml:space="preserve">1918</t>
        </is>
      </c>
      <c r="D333" s="15" t="inlineStr">
        <is>
          <t xml:space="preserve">light_lp_turret</t>
        </is>
      </c>
      <c r="E333" s="15" t="inlineStr">
        <is>
          <t xml:space="preserve">nsb_iw_armored_vehicles</t>
        </is>
      </c>
      <c r="F333" s="15" t="inlineStr">
        <is>
          <t xml:space="preserve">nsb_iw_armored_vehicles</t>
        </is>
      </c>
      <c r="G333" s="15" t="inlineStr">
        <is>
          <t xml:space="preserve">tank_turret_type</t>
        </is>
      </c>
      <c r="H333" s="15" t="inlineStr">
        <is>
          <t xml:space="preserve">light_lp_turret</t>
        </is>
      </c>
      <c r="I333" s="15" t="inlineStr">
        <is>
          <t xml:space="preserve">10%</t>
        </is>
      </c>
      <c r="R333" s="15" t="inlineStr">
        <is>
          <t xml:space="preserve">5%</t>
        </is>
      </c>
      <c r="AH333" s="15" t="inlineStr">
        <is>
          <t xml:space="preserve">1.25</t>
        </is>
      </c>
      <c r="AJ333" s="15">
        <v>0.625</v>
      </c>
      <c r="AP333" s="15" t="inlineStr">
        <is>
          <t xml:space="preserve">parent=pintle_turret; unlock=nsb_iw_armored_vehicles@1918; xp_cost=present; dismantle_cost_ic=0.625; conversion=none; operations=add=build_cost_ic:1.25,reliability:0.1; multiply=defense:0.05; exclusions=category,eligibility,abbreviation,display</t>
        </is>
      </c>
    </row>
    <row r="334" spans="1:42">
      <c r="A334" s="15" t="inlineStr">
        <is>
          <t xml:space="preserve">Script-Owned</t>
        </is>
      </c>
      <c r="B334" s="15" t="inlineStr">
        <is>
          <t xml:space="preserve">tank_turret_type</t>
        </is>
      </c>
      <c r="C334" s="15" t="inlineStr">
        <is>
          <t xml:space="preserve">1918</t>
        </is>
      </c>
      <c r="D334" s="15" t="inlineStr">
        <is>
          <t xml:space="preserve">light_turret</t>
        </is>
      </c>
      <c r="E334" s="15" t="inlineStr">
        <is>
          <t xml:space="preserve">nsb_iw_armored_vehicles</t>
        </is>
      </c>
      <c r="F334" s="15" t="inlineStr">
        <is>
          <t xml:space="preserve">nsb_iw_armored_vehicles</t>
        </is>
      </c>
      <c r="G334" s="15" t="inlineStr">
        <is>
          <t xml:space="preserve">tank_turret_type</t>
        </is>
      </c>
      <c r="H334" s="15" t="inlineStr">
        <is>
          <t xml:space="preserve">light_turret</t>
        </is>
      </c>
      <c r="I334" s="15" t="inlineStr">
        <is>
          <t xml:space="preserve">15%</t>
        </is>
      </c>
      <c r="AH334" s="15" t="inlineStr">
        <is>
          <t xml:space="preserve">1</t>
        </is>
      </c>
      <c r="AJ334" s="15">
        <v>0.5</v>
      </c>
      <c r="AP334" s="15" t="inlineStr">
        <is>
          <t xml:space="preserve">parent=light_lp_turret; unlock=nsb_iw_armored_vehicles@1918; xp_cost=present; dismantle_cost_ic=0.5; conversion=none; operations=add=build_cost_ic:1,reliability:0.15; exclusions=category,eligibility,abbreviation,display</t>
        </is>
      </c>
    </row>
    <row r="335" spans="1:42">
      <c r="A335" s="15" t="inlineStr">
        <is>
          <t xml:space="preserve">Script-Owned</t>
        </is>
      </c>
      <c r="B335" s="15" t="inlineStr">
        <is>
          <t xml:space="preserve">tank_turret_type</t>
        </is>
      </c>
      <c r="C335" s="15" t="inlineStr">
        <is>
          <t xml:space="preserve">1918</t>
        </is>
      </c>
      <c r="D335" s="15" t="inlineStr">
        <is>
          <t xml:space="preserve">lp_turret</t>
        </is>
      </c>
      <c r="E335" s="15" t="inlineStr">
        <is>
          <t xml:space="preserve">nsb_iw_armored_vehicles</t>
        </is>
      </c>
      <c r="F335" s="15" t="inlineStr">
        <is>
          <t xml:space="preserve">nsb_iw_armored_vehicles</t>
        </is>
      </c>
      <c r="G335" s="15" t="inlineStr">
        <is>
          <t xml:space="preserve">tank_turret_type</t>
        </is>
      </c>
      <c r="H335" s="15" t="inlineStr">
        <is>
          <t xml:space="preserve">lp_turret</t>
        </is>
      </c>
      <c r="I335" s="15" t="inlineStr">
        <is>
          <t xml:space="preserve">10%</t>
        </is>
      </c>
      <c r="R335" s="15" t="inlineStr">
        <is>
          <t xml:space="preserve">10%</t>
        </is>
      </c>
      <c r="AH335" s="15" t="inlineStr">
        <is>
          <t xml:space="preserve">1.5</t>
        </is>
      </c>
      <c r="AJ335" s="15">
        <v>0.75</v>
      </c>
      <c r="AP335" s="15" t="inlineStr">
        <is>
          <t xml:space="preserve">parent=none; unlock=nsb_iw_armored_vehicles@1918; xp_cost=present; dismantle_cost_ic=0.75; conversion=none; operations=add=build_cost_ic:1.5,reliability:0.1; multiply=defense:0.1; exclusions=category,eligibility,abbreviation,display</t>
        </is>
      </c>
    </row>
    <row r="336" spans="1:42">
      <c r="A336" s="15" t="inlineStr">
        <is>
          <t xml:space="preserve">Script-Owned</t>
        </is>
      </c>
      <c r="B336" s="15" t="inlineStr">
        <is>
          <t xml:space="preserve">tank_medium_turret_type</t>
        </is>
      </c>
      <c r="C336" s="15" t="inlineStr">
        <is>
          <t xml:space="preserve">1918</t>
        </is>
      </c>
      <c r="D336" s="15" t="inlineStr">
        <is>
          <t xml:space="preserve">medium_fixed_superstructure</t>
        </is>
      </c>
      <c r="E336" s="15" t="inlineStr">
        <is>
          <t xml:space="preserve">nsb_iw_armored_vehicles</t>
        </is>
      </c>
      <c r="F336" s="15" t="inlineStr">
        <is>
          <t xml:space="preserve">nsb_iw_armored_vehicles</t>
        </is>
      </c>
      <c r="G336" s="15" t="inlineStr">
        <is>
          <t xml:space="preserve">tank_medium_turret_type</t>
        </is>
      </c>
      <c r="H336" s="15" t="inlineStr">
        <is>
          <t xml:space="preserve">medium_fixed_superstructure</t>
        </is>
      </c>
      <c r="I336" s="15" t="inlineStr">
        <is>
          <t xml:space="preserve">20%</t>
        </is>
      </c>
      <c r="P336" s="15" t="inlineStr">
        <is>
          <t xml:space="preserve">-15%</t>
        </is>
      </c>
      <c r="R336" s="15" t="inlineStr">
        <is>
          <t xml:space="preserve">5%</t>
        </is>
      </c>
      <c r="AH336" s="15" t="inlineStr">
        <is>
          <t xml:space="preserve">1</t>
        </is>
      </c>
      <c r="AJ336" s="15">
        <v>0.5</v>
      </c>
      <c r="AP336" s="15" t="inlineStr">
        <is>
          <t xml:space="preserve">parent=external_gun; unlock=nsb_iw_armored_vehicles@1918; xp_cost=present; dismantle_cost_ic=0.5; conversion=none; operations=add=build_cost_ic:1,reliability:0.2; multiply=breakthrough:-0.15,defense:0.05; exclusions=category,eligibility,abbreviation,display</t>
        </is>
      </c>
    </row>
    <row r="337" spans="1:42">
      <c r="A337" s="15" t="inlineStr">
        <is>
          <t xml:space="preserve">Script-Owned</t>
        </is>
      </c>
      <c r="B337" s="15" t="inlineStr">
        <is>
          <t xml:space="preserve">tank_medium_turret_type</t>
        </is>
      </c>
      <c r="C337" s="15" t="inlineStr">
        <is>
          <t xml:space="preserve">1918</t>
        </is>
      </c>
      <c r="D337" s="15" t="inlineStr">
        <is>
          <t xml:space="preserve">medium_open_gun</t>
        </is>
      </c>
      <c r="E337" s="15" t="inlineStr">
        <is>
          <t xml:space="preserve">nsb_iw_armored_vehicles</t>
        </is>
      </c>
      <c r="F337" s="15" t="inlineStr">
        <is>
          <t xml:space="preserve">nsb_iw_armored_vehicles</t>
        </is>
      </c>
      <c r="G337" s="15" t="inlineStr">
        <is>
          <t xml:space="preserve">tank_medium_turret_type</t>
        </is>
      </c>
      <c r="H337" s="15" t="inlineStr">
        <is>
          <t xml:space="preserve">medium_open_gun</t>
        </is>
      </c>
      <c r="I337" s="15" t="inlineStr">
        <is>
          <t xml:space="preserve">10%</t>
        </is>
      </c>
      <c r="P337" s="15" t="inlineStr">
        <is>
          <t xml:space="preserve">-20%</t>
        </is>
      </c>
      <c r="R337" s="15" t="inlineStr">
        <is>
          <t xml:space="preserve">-10%</t>
        </is>
      </c>
      <c r="AH337" s="15" t="inlineStr">
        <is>
          <t xml:space="preserve">0.75</t>
        </is>
      </c>
      <c r="AJ337" s="15">
        <v>0.375</v>
      </c>
      <c r="AP337" s="15" t="inlineStr">
        <is>
          <t xml:space="preserve">parent=open_gun; unlock=nsb_iw_armored_vehicles@1918; xp_cost=present; dismantle_cost_ic=0.375; conversion=none; operations=add=build_cost_ic:0.75,reliability:0.1; multiply=breakthrough:-0.2,defense:-0.1; exclusions=category,eligibility,abbreviation,display</t>
        </is>
      </c>
    </row>
    <row r="338" spans="1:42">
      <c r="A338" s="15" t="inlineStr">
        <is>
          <t xml:space="preserve">Script-Owned</t>
        </is>
      </c>
      <c r="B338" s="15" t="inlineStr">
        <is>
          <t xml:space="preserve">tank_light_turret_type</t>
        </is>
      </c>
      <c r="C338" s="15" t="inlineStr">
        <is>
          <t xml:space="preserve">1918</t>
        </is>
      </c>
      <c r="D338" s="15" t="inlineStr">
        <is>
          <t xml:space="preserve">open_gun</t>
        </is>
      </c>
      <c r="E338" s="15" t="inlineStr">
        <is>
          <t xml:space="preserve">nsb_iw_armored_vehicles</t>
        </is>
      </c>
      <c r="F338" s="15" t="inlineStr">
        <is>
          <t xml:space="preserve">nsb_iw_armored_vehicles</t>
        </is>
      </c>
      <c r="G338" s="15" t="inlineStr">
        <is>
          <t xml:space="preserve">tank_light_turret_type</t>
        </is>
      </c>
      <c r="H338" s="15" t="inlineStr">
        <is>
          <t xml:space="preserve">open_gun</t>
        </is>
      </c>
      <c r="I338" s="15" t="inlineStr">
        <is>
          <t xml:space="preserve">10%</t>
        </is>
      </c>
      <c r="P338" s="15" t="inlineStr">
        <is>
          <t xml:space="preserve">-20%</t>
        </is>
      </c>
      <c r="R338" s="15" t="inlineStr">
        <is>
          <t xml:space="preserve">-10%</t>
        </is>
      </c>
      <c r="AH338" s="15" t="inlineStr">
        <is>
          <t xml:space="preserve">0.5</t>
        </is>
      </c>
      <c r="AJ338" s="15">
        <v>0.25</v>
      </c>
      <c r="AP338" s="15" t="inlineStr">
        <is>
          <t xml:space="preserve">parent=none; unlock=nsb_iw_armored_vehicles@1918; xp_cost=present; dismantle_cost_ic=0.25; conversion=none; operations=add=build_cost_ic:0.5,reliability:0.1; multiply=breakthrough:-0.2,defense:-0.1; exclusions=category,eligibility,abbreviation,display</t>
        </is>
      </c>
    </row>
    <row r="339" spans="1:42">
      <c r="A339" s="15" t="inlineStr">
        <is>
          <t xml:space="preserve">Script-Owned</t>
        </is>
      </c>
      <c r="B339" s="15" t="inlineStr">
        <is>
          <t xml:space="preserve">tank_turret_type</t>
        </is>
      </c>
      <c r="C339" s="15" t="inlineStr">
        <is>
          <t xml:space="preserve">1918</t>
        </is>
      </c>
      <c r="D339" s="15" t="inlineStr">
        <is>
          <t xml:space="preserve">oscillating_turret</t>
        </is>
      </c>
      <c r="E339" s="15" t="inlineStr">
        <is>
          <t xml:space="preserve">nsb_iw_armored_vehicles</t>
        </is>
      </c>
      <c r="F339" s="15" t="inlineStr">
        <is>
          <t xml:space="preserve">nsb_iw_armored_vehicles</t>
        </is>
      </c>
      <c r="G339" s="15" t="inlineStr">
        <is>
          <t xml:space="preserve">tank_turret_type</t>
        </is>
      </c>
      <c r="H339" s="15" t="inlineStr">
        <is>
          <t xml:space="preserve">oscillating_turret</t>
        </is>
      </c>
      <c r="I339" s="15" t="inlineStr">
        <is>
          <t xml:space="preserve">5%</t>
        </is>
      </c>
      <c r="P339" s="15" t="inlineStr">
        <is>
          <t xml:space="preserve">10%</t>
        </is>
      </c>
      <c r="AH339" s="15" t="inlineStr">
        <is>
          <t>1.75</t>
        </is>
      </c>
      <c r="AJ339" s="15" t="inlineStr">
        <is>
          <t>0.875</t>
        </is>
      </c>
      <c r="AP339" s="15" t="inlineStr">
        <is>
          <t xml:space="preserve">parent=none; unlock=nsb_iw_armored_vehicles@1918; xp_cost=present; dismantle_cost_ic=0.75; conversion=none; operations=add=build_cost_ic:1.5,reliability:0.05; multiply=breakthrough:0.1; exclusions=category,eligibility,abbreviation,display</t>
        </is>
      </c>
    </row>
    <row r="340" spans="1:42">
      <c r="A340" s="15" t="inlineStr">
        <is>
          <t xml:space="preserve">Script-Owned</t>
        </is>
      </c>
      <c r="B340" s="15" t="inlineStr">
        <is>
          <t xml:space="preserve">tank_turret_type</t>
        </is>
      </c>
      <c r="C340" s="15" t="inlineStr">
        <is>
          <t xml:space="preserve">1918</t>
        </is>
      </c>
      <c r="D340" s="15" t="inlineStr">
        <is>
          <t xml:space="preserve">pintle_turret</t>
        </is>
      </c>
      <c r="E340" s="15" t="inlineStr">
        <is>
          <t xml:space="preserve">nsb_iw_armored_vehicles</t>
        </is>
      </c>
      <c r="F340" s="15" t="inlineStr">
        <is>
          <t xml:space="preserve">nsb_iw_armored_vehicles</t>
        </is>
      </c>
      <c r="G340" s="15" t="inlineStr">
        <is>
          <t xml:space="preserve">tank_turret_type</t>
        </is>
      </c>
      <c r="H340" s="15" t="inlineStr">
        <is>
          <t xml:space="preserve">pintle_turret</t>
        </is>
      </c>
      <c r="I340" s="15" t="inlineStr">
        <is>
          <t xml:space="preserve">5%</t>
        </is>
      </c>
      <c r="P340" s="15" t="inlineStr">
        <is>
          <t xml:space="preserve">-10%</t>
        </is>
      </c>
      <c r="AH340" s="15" t="inlineStr">
        <is>
          <t xml:space="preserve">0.5</t>
        </is>
      </c>
      <c r="AJ340" s="15">
        <v>0.25</v>
      </c>
      <c r="AP340" s="15" t="inlineStr">
        <is>
          <t xml:space="preserve">parent=none; unlock=nsb_iw_armored_vehicles@1918; xp_cost=present; dismantle_cost_ic=0.25; conversion=none; operations=add=build_cost_ic:0.5,reliability:0.05; multiply=breakthrough:-0.1; exclusions=category,eligibility,abbreviation,display</t>
        </is>
      </c>
    </row>
    <row r="341" spans="1:42">
      <c r="A341" s="15" t="inlineStr">
        <is>
          <t xml:space="preserve">Script-Owned</t>
        </is>
      </c>
      <c r="B341" s="15" t="inlineStr">
        <is>
          <t xml:space="preserve">tank_small_main_armament</t>
        </is>
      </c>
      <c r="C341" s="15" t="inlineStr">
        <is>
          <t xml:space="preserve">1918</t>
        </is>
      </c>
      <c r="D341" s="15" t="inlineStr">
        <is>
          <t xml:space="preserve">tank_anti_air_cannon</t>
        </is>
      </c>
      <c r="E341" s="15" t="inlineStr">
        <is>
          <t xml:space="preserve">nsb_iw_armored_vehicles</t>
        </is>
      </c>
      <c r="F341" s="15" t="inlineStr">
        <is>
          <t xml:space="preserve">nsb_iw_armored_vehicles</t>
        </is>
      </c>
      <c r="G341" s="15" t="inlineStr">
        <is>
          <t xml:space="preserve">tank_small_main_armament</t>
        </is>
      </c>
      <c r="H341" s="15" t="inlineStr">
        <is>
          <t xml:space="preserve">tank_anti_air_cannon</t>
        </is>
      </c>
      <c r="I341" s="15" t="inlineStr">
        <is>
          <t xml:space="preserve">-10%</t>
        </is>
      </c>
      <c r="K341" s="15" t="inlineStr">
        <is>
          <t xml:space="preserve">2</t>
        </is>
      </c>
      <c r="M341" s="15" t="inlineStr">
        <is>
          <t xml:space="preserve">6</t>
        </is>
      </c>
      <c r="U341" s="15" t="inlineStr">
        <is>
          <t xml:space="preserve">10</t>
        </is>
      </c>
      <c r="AF341" s="15" t="inlineStr">
        <is>
          <t xml:space="preserve">18</t>
        </is>
      </c>
      <c r="AH341" s="15" t="inlineStr">
        <is>
          <t xml:space="preserve">2</t>
        </is>
      </c>
      <c r="AJ341" s="15">
        <v>1</v>
      </c>
      <c r="AP341" s="15" t="inlineStr">
        <is>
          <t xml:space="preserve">parent=none; unlock=nsb_iw_armored_vehicles@1918; xp_cost=present; dismantle_cost_ic=1.0; conversion=none; operations=add=air_attack:18,ap_attack:10,build_cost_ic:2,hard_attack:2,reliability:-0.1,soft_attack:6; exclusions=category,eligibility,abbreviation,display</t>
        </is>
      </c>
    </row>
    <row r="342" spans="1:42">
      <c r="A342" s="15" t="inlineStr">
        <is>
          <t xml:space="preserve">Script-Owned</t>
        </is>
      </c>
      <c r="B342" s="15" t="inlineStr">
        <is>
          <t xml:space="preserve">tank_small_main_armament</t>
        </is>
      </c>
      <c r="C342" s="15" t="inlineStr">
        <is>
          <t xml:space="preserve">1955</t>
        </is>
      </c>
      <c r="D342" s="15" t="inlineStr">
        <is>
          <t xml:space="preserve">tank_anti_air_cannon_2</t>
        </is>
      </c>
      <c r="E342" s="15" t="inlineStr">
        <is>
          <t xml:space="preserve">nsb_aiming_devices2</t>
        </is>
      </c>
      <c r="F342" s="15" t="inlineStr">
        <is>
          <t xml:space="preserve">nsb_aiming_devices2</t>
        </is>
      </c>
      <c r="G342" s="15" t="inlineStr">
        <is>
          <t xml:space="preserve">tank_small_main_armament</t>
        </is>
      </c>
      <c r="H342" s="15" t="inlineStr">
        <is>
          <t xml:space="preserve">tank_anti_air_cannon_2</t>
        </is>
      </c>
      <c r="I342" s="15" t="inlineStr">
        <is>
          <t xml:space="preserve">-10%</t>
        </is>
      </c>
      <c r="K342" s="15" t="inlineStr">
        <is>
          <t xml:space="preserve">5</t>
        </is>
      </c>
      <c r="M342" s="15" t="inlineStr">
        <is>
          <t xml:space="preserve">8</t>
        </is>
      </c>
      <c r="U342" s="15" t="inlineStr">
        <is>
          <t xml:space="preserve">18</t>
        </is>
      </c>
      <c r="AF342" s="15" t="inlineStr">
        <is>
          <t xml:space="preserve">32</t>
        </is>
      </c>
      <c r="AH342" s="15" t="inlineStr">
        <is>
          <t xml:space="preserve">3</t>
        </is>
      </c>
      <c r="AJ342" s="15">
        <v>1</v>
      </c>
      <c r="AL342" s="15">
        <v>2</v>
      </c>
      <c r="AN342" s="15">
        <v>1</v>
      </c>
      <c r="AP342" s="15" t="inlineStr">
        <is>
          <t xml:space="preserve">parent=tank_anti_air_cannon; unlock=nsb_aiming_devices2@1955; xp_cost=present; dismantle_cost_ic=1.0; conversion=none; operations=add=air_attack:32,ap_attack:18,build_cost_ic:3,hard_attack:5,reliability:-0.1,soft_attack:8; resources=steel:2,tungsten:1; exclusions=category,eligibility,abbreviation,display</t>
        </is>
      </c>
    </row>
    <row r="343" spans="1:42">
      <c r="A343" s="15" t="inlineStr">
        <is>
          <t xml:space="preserve">Script-Owned</t>
        </is>
      </c>
      <c r="B343" s="15" t="inlineStr">
        <is>
          <t xml:space="preserve">tank_medium_main_armament</t>
        </is>
      </c>
      <c r="C343" s="15" t="inlineStr">
        <is>
          <t xml:space="preserve">1985</t>
        </is>
      </c>
      <c r="D343" s="15" t="inlineStr">
        <is>
          <t xml:space="preserve">tank_anti_air_cannon_3</t>
        </is>
      </c>
      <c r="E343" s="15" t="inlineStr">
        <is>
          <t xml:space="preserve">nsb_aiming_devices4</t>
        </is>
      </c>
      <c r="F343" s="15" t="inlineStr">
        <is>
          <t xml:space="preserve">nsb_aiming_devices4</t>
        </is>
      </c>
      <c r="G343" s="15" t="inlineStr">
        <is>
          <t xml:space="preserve">tank_medium_main_armament</t>
        </is>
      </c>
      <c r="H343" s="15" t="inlineStr">
        <is>
          <t xml:space="preserve">tank_anti_air_cannon_3</t>
        </is>
      </c>
      <c r="I343" s="15" t="inlineStr">
        <is>
          <t xml:space="preserve">-10%</t>
        </is>
      </c>
      <c r="K343" s="15" t="inlineStr">
        <is>
          <t xml:space="preserve">5</t>
        </is>
      </c>
      <c r="M343" s="15" t="inlineStr">
        <is>
          <t xml:space="preserve">10</t>
        </is>
      </c>
      <c r="U343" s="15" t="inlineStr">
        <is>
          <t xml:space="preserve">24</t>
        </is>
      </c>
      <c r="AF343" s="15" t="inlineStr">
        <is>
          <t xml:space="preserve">46</t>
        </is>
      </c>
      <c r="AH343" s="15" t="inlineStr">
        <is>
          <t xml:space="preserve">4</t>
        </is>
      </c>
      <c r="AJ343" s="15">
        <v>1</v>
      </c>
      <c r="AL343" s="15">
        <v>3</v>
      </c>
      <c r="AN343" s="15">
        <v>1</v>
      </c>
      <c r="AP343" s="15" t="inlineStr">
        <is>
          <t xml:space="preserve">parent=tank_anti_air_cannon_2; unlock=nsb_aiming_devices4@1985; xp_cost=present; dismantle_cost_ic=1.0; conversion=none; operations=add=air_attack:46,ap_attack:24,build_cost_ic:4,hard_attack:5,reliability:-0.1,soft_attack:10; resources=steel:3,tungsten:1; exclusions=category,eligibility,abbreviation,display</t>
        </is>
      </c>
    </row>
    <row r="344" spans="1:42">
      <c r="A344" s="15" t="inlineStr">
        <is>
          <t xml:space="preserve">Script-Owned</t>
        </is>
      </c>
      <c r="B344" s="15" t="inlineStr">
        <is>
          <t xml:space="preserve">tank_engine_gasoline</t>
        </is>
      </c>
      <c r="C344" s="15" t="inlineStr">
        <is>
          <t xml:space="preserve">1918</t>
        </is>
      </c>
      <c r="D344" s="15" t="inlineStr">
        <is>
          <t xml:space="preserve">tank_gasoline_engine</t>
        </is>
      </c>
      <c r="E344" s="15" t="inlineStr">
        <is>
          <t xml:space="preserve">nsb_iw_armored_vehicles</t>
        </is>
      </c>
      <c r="F344" s="15" t="inlineStr">
        <is>
          <t xml:space="preserve">nsb_iw_armored_vehicles</t>
        </is>
      </c>
      <c r="G344" s="15" t="inlineStr">
        <is>
          <t xml:space="preserve">tank_engine_gasoline</t>
        </is>
      </c>
      <c r="H344" s="15" t="inlineStr">
        <is>
          <t xml:space="preserve">tank_gasoline_engine</t>
        </is>
      </c>
      <c r="W344" s="15" t="inlineStr">
        <is>
          <t xml:space="preserve">0.5</t>
        </is>
      </c>
      <c r="X344" s="15" t="inlineStr">
        <is>
          <t xml:space="preserve">15%</t>
        </is>
      </c>
      <c r="AD344" s="15" t="inlineStr">
        <is>
          <t xml:space="preserve">2</t>
        </is>
      </c>
      <c r="AH344" s="15" t="inlineStr">
        <is>
          <t xml:space="preserve">1</t>
        </is>
      </c>
      <c r="AJ344" t="inlineStr">
        <is>
          <t>0.5</t>
        </is>
      </c>
      <c r="AP344" s="15" t="inlineStr">
        <is>
          <t xml:space="preserve">parent=none; unlock=nsb_iw_armored_vehicles@1918; xp_cost=absent; dismantle_cost_ic=absent; conversion=none; operations=add=build_cost_ic:1,fuel_consumption:2,maximum_speed:0.5; multiply=maximum_speed:0.15; exclusions=category,eligibility,abbreviation,display</t>
        </is>
      </c>
    </row>
  </sheetData>
  <mergeCells count="99">
    <mergeCell ref="B283:B285"/>
    <mergeCell ref="B287:B289"/>
    <mergeCell ref="B293:B296"/>
    <mergeCell ref="B298:B302"/>
    <mergeCell ref="B304:B308"/>
    <mergeCell ref="H258:H259"/>
    <mergeCell ref="I258:AJ258"/>
    <mergeCell ref="AK258:AO258"/>
    <mergeCell ref="B260:B268"/>
    <mergeCell ref="B270:B273"/>
    <mergeCell ref="E258:E259"/>
    <mergeCell ref="F258:G258"/>
    <mergeCell ref="B275:B281"/>
    <mergeCell ref="A258:A259"/>
    <mergeCell ref="B258:B259"/>
    <mergeCell ref="C258:C259"/>
    <mergeCell ref="D258:D259"/>
    <mergeCell ref="H209:H210"/>
    <mergeCell ref="I209:AJ209"/>
    <mergeCell ref="AK209:AO209"/>
    <mergeCell ref="A211:A255"/>
    <mergeCell ref="B211:B220"/>
    <mergeCell ref="B222:B237"/>
    <mergeCell ref="B239:B242"/>
    <mergeCell ref="B248:B250"/>
    <mergeCell ref="B252:B255"/>
    <mergeCell ref="A209:A210"/>
    <mergeCell ref="B209:B210"/>
    <mergeCell ref="C209:C210"/>
    <mergeCell ref="D209:D210"/>
    <mergeCell ref="E209:E210"/>
    <mergeCell ref="F209:G209"/>
    <mergeCell ref="AK158:AO158"/>
    <mergeCell ref="A160:A206"/>
    <mergeCell ref="B160:B166"/>
    <mergeCell ref="B168:B171"/>
    <mergeCell ref="B173:B176"/>
    <mergeCell ref="B178:B184"/>
    <mergeCell ref="B186:B189"/>
    <mergeCell ref="B191:B198"/>
    <mergeCell ref="B200:B206"/>
    <mergeCell ref="C158:C159"/>
    <mergeCell ref="D158:D159"/>
    <mergeCell ref="E158:E159"/>
    <mergeCell ref="F158:G158"/>
    <mergeCell ref="H158:H159"/>
    <mergeCell ref="I158:AJ158"/>
    <mergeCell ref="A158:A159"/>
    <mergeCell ref="B126:B127"/>
    <mergeCell ref="B129:B134"/>
    <mergeCell ref="B136:B142"/>
    <mergeCell ref="B144:B147"/>
    <mergeCell ref="B149:B155"/>
    <mergeCell ref="B158:B159"/>
    <mergeCell ref="H82:H83"/>
    <mergeCell ref="I82:AJ82"/>
    <mergeCell ref="AK82:AO82"/>
    <mergeCell ref="A84:A155"/>
    <mergeCell ref="B84:B94"/>
    <mergeCell ref="B96:B98"/>
    <mergeCell ref="B100:B105"/>
    <mergeCell ref="B107:B111"/>
    <mergeCell ref="B113:B120"/>
    <mergeCell ref="B122:B124"/>
    <mergeCell ref="A82:A83"/>
    <mergeCell ref="B82:B83"/>
    <mergeCell ref="C82:C83"/>
    <mergeCell ref="D82:D83"/>
    <mergeCell ref="E82:E83"/>
    <mergeCell ref="F82:G82"/>
    <mergeCell ref="H32:H33"/>
    <mergeCell ref="I32:AJ32"/>
    <mergeCell ref="AK32:AO32"/>
    <mergeCell ref="A34:A79"/>
    <mergeCell ref="B34:B47"/>
    <mergeCell ref="B49:B55"/>
    <mergeCell ref="B57:B61"/>
    <mergeCell ref="B63:B68"/>
    <mergeCell ref="B70:B75"/>
    <mergeCell ref="B77:B79"/>
    <mergeCell ref="A32:A33"/>
    <mergeCell ref="B32:B33"/>
    <mergeCell ref="C32:C33"/>
    <mergeCell ref="D32:D33"/>
    <mergeCell ref="E32:E33"/>
    <mergeCell ref="F32:G32"/>
    <mergeCell ref="H1:H2"/>
    <mergeCell ref="I1:AJ1"/>
    <mergeCell ref="AK1:AO1"/>
    <mergeCell ref="A3:A29"/>
    <mergeCell ref="B3:B12"/>
    <mergeCell ref="B14:B23"/>
    <mergeCell ref="B25:B29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6D25CF4E-2289-44A1-93C2-9487E54AF0D2}">
  <sheetPr>
    <tabColor rgb="FF00B050"/>
  </sheetPr>
  <dimension ref="A1:BJ345"/>
  <sheetViews>
    <sheetView topLeftCell="E1" workbookViewId="0">
      <selection activeCell="U31" sqref="U31"/>
    </sheetView>
  </sheetViews>
  <sheetFormatPr defaultRowHeight="15"/>
  <cols>
    <col min="1" max="5" width="21" customWidth="1"/>
    <col min="6" max="6" width="17.85546875" customWidth="1"/>
    <col min="7" max="7" width="18.28515625" customWidth="1"/>
    <col min="8" max="8" width="13" customWidth="1"/>
    <col min="9" max="10" width="14" customWidth="1"/>
    <col min="11" max="11" width="16.42578125" customWidth="1"/>
    <col min="12" max="12" width="13.5703125" customWidth="1"/>
    <col min="13" max="13" width="15.140625" customWidth="1"/>
    <col min="14" max="14" width="14.5703125" customWidth="1"/>
    <col min="15" max="15" width="16.42578125" customWidth="1"/>
    <col min="16" max="16" width="10" customWidth="1"/>
    <col min="17" max="17" width="14.5703125" customWidth="1"/>
    <col min="19" max="19" width="18.85546875" customWidth="1"/>
    <col min="20" max="20" width="31.140625" customWidth="1"/>
    <col min="22" max="22" width="48.7109375" customWidth="1"/>
    <col min="23" max="23" width="39.5703125" customWidth="1"/>
    <col min="24" max="24" width="38.28515625" customWidth="1"/>
    <col min="25" max="25" width="26.7109375" customWidth="1"/>
    <col min="26" max="26" width="25.28515625" customWidth="1"/>
    <col min="27" max="27" width="17.140625" customWidth="1"/>
    <col min="28" max="28" width="13.85546875" customWidth="1"/>
    <col min="29" max="29" width="15" customWidth="1"/>
    <col min="30" max="30" width="15.140625" customWidth="1"/>
    <col min="31" max="31" width="13.5703125" customWidth="1"/>
    <col min="32" max="32" width="14.7109375" customWidth="1"/>
    <col min="33" max="33" width="13.5703125" customWidth="1"/>
    <col min="34" max="34" width="17.140625" customWidth="1"/>
    <col min="36" max="40" width="12.42578125" customWidth="1"/>
    <col min="41" max="41" width="14.42578125" customWidth="1"/>
    <col min="42" max="44" width="13.28515625" customWidth="1"/>
    <col min="45" max="45" width="15" customWidth="1"/>
    <col min="46" max="46" width="20.28515625" customWidth="1"/>
    <col min="47" max="47" width="23.42578125" customWidth="1"/>
    <col min="48" max="48" width="18.42578125" customWidth="1"/>
    <col min="49" max="51" width="21.42578125" customWidth="1"/>
    <col min="52" max="52" width="21.5703125" customWidth="1"/>
    <col min="53" max="53" width="18" customWidth="1"/>
    <col min="54" max="54" width="17.140625" customWidth="1"/>
    <col min="55" max="55" width="16.42578125" customWidth="1"/>
    <col min="56" max="56" width="20.42578125" customWidth="1"/>
    <col min="57" max="57" width="15.140625" customWidth="1"/>
    <col min="58" max="58" width="16.7109375" customWidth="1"/>
    <col min="59" max="59" width="18.5703125" customWidth="1"/>
  </cols>
  <sheetData>
    <row r="1" spans="1:59">
      <c r="A1" s="45" t="s">
        <v>122</v>
      </c>
      <c r="B1" s="45" t="s">
        <v>3</v>
      </c>
      <c r="C1" s="45" t="s">
        <v>461</v>
      </c>
      <c r="D1" s="45" t="s">
        <v>462</v>
      </c>
      <c r="E1" s="45" t="s">
        <v>463</v>
      </c>
      <c r="F1" s="45" t="s">
        <v>464</v>
      </c>
      <c r="G1" s="45" t="s">
        <v>465</v>
      </c>
      <c r="H1" s="45" t="s">
        <v>466</v>
      </c>
      <c r="I1" s="45" t="s">
        <v>8</v>
      </c>
      <c r="J1" s="45" t="s">
        <v>126</v>
      </c>
      <c r="K1" s="45" t="s">
        <v>467</v>
      </c>
      <c r="L1" s="45" t="s">
        <v>468</v>
      </c>
      <c r="M1" s="45" t="s">
        <v>469</v>
      </c>
      <c r="N1" s="45" t="s">
        <v>470</v>
      </c>
      <c r="S1" s="93" t="s">
        <v>471</v>
      </c>
      <c r="T1" s="93" t="s">
        <v>2</v>
      </c>
      <c r="U1" s="93" t="s">
        <v>3</v>
      </c>
      <c r="V1" s="93" t="s">
        <v>472</v>
      </c>
      <c r="W1" s="93" t="s">
        <v>473</v>
      </c>
      <c r="X1" s="93" t="s">
        <v>240</v>
      </c>
      <c r="Y1" s="93"/>
      <c r="Z1" s="93" t="s">
        <v>474</v>
      </c>
      <c r="AA1" s="94" t="s">
        <v>121</v>
      </c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5" t="s">
        <v>241</v>
      </c>
      <c r="BD1" s="95"/>
      <c r="BE1" s="95"/>
      <c r="BF1" s="95"/>
      <c r="BG1" s="95"/>
      <c r="BH1" s="94" t="inlineStr">
        <is>
          <t xml:space="preserve">Operation metadata</t>
        </is>
      </c>
    </row>
    <row r="2" spans="1:59">
      <c r="A2" s="43" t="s">
        <v>475</v>
      </c>
      <c r="B2" s="43">
        <v>1942</v>
      </c>
      <c r="C2" s="43">
        <v>70</v>
      </c>
      <c r="D2" s="43">
        <v>90</v>
      </c>
      <c r="E2" s="43">
        <v>15</v>
      </c>
      <c r="F2" s="43">
        <v>20</v>
      </c>
      <c r="G2" s="43">
        <v>45</v>
      </c>
      <c r="H2" s="43">
        <v>6</v>
      </c>
      <c r="I2" s="43">
        <v>30</v>
      </c>
      <c r="J2" s="43">
        <v>36</v>
      </c>
      <c r="K2" s="43">
        <v>7</v>
      </c>
      <c r="M2" s="43" t="s">
        <v>476</v>
      </c>
      <c r="N2" s="43">
        <v>20</v>
      </c>
      <c r="S2" s="93"/>
      <c r="T2" s="93"/>
      <c r="U2" s="93"/>
      <c r="V2" s="93"/>
      <c r="W2" s="93"/>
      <c r="X2" s="68" t="s">
        <v>477</v>
      </c>
      <c r="Y2" s="68" t="s">
        <v>243</v>
      </c>
      <c r="Z2" s="93"/>
      <c r="AA2" s="46" t="s">
        <v>244</v>
      </c>
      <c r="AB2" s="46" t="s">
        <v>245</v>
      </c>
      <c r="AC2" s="46" t="s">
        <v>124</v>
      </c>
      <c r="AD2" s="46" t="s">
        <v>246</v>
      </c>
      <c r="AE2" s="46" t="s">
        <v>125</v>
      </c>
      <c r="AF2" s="46" t="s">
        <v>247</v>
      </c>
      <c r="AG2" s="46" t="s">
        <v>248</v>
      </c>
      <c r="AH2" s="46" t="s">
        <v>249</v>
      </c>
      <c r="AI2" s="46" t="s">
        <v>250</v>
      </c>
      <c r="AJ2" s="46" t="s">
        <v>251</v>
      </c>
      <c r="AK2" s="46" t="s">
        <v>8</v>
      </c>
      <c r="AL2" s="46" t="s">
        <v>253</v>
      </c>
      <c r="AM2" s="46" t="s">
        <v>126</v>
      </c>
      <c r="AN2" s="46" t="s">
        <v>478</v>
      </c>
      <c r="AO2" s="46" t="s">
        <v>127</v>
      </c>
      <c r="AP2" s="46" t="s">
        <v>252</v>
      </c>
      <c r="AQ2" s="46" t="s">
        <v>112</v>
      </c>
      <c r="AR2" s="46" t="s">
        <v>343</v>
      </c>
      <c r="AS2" s="53" t="s">
        <v>479</v>
      </c>
      <c r="AT2" s="46" t="s">
        <v>254</v>
      </c>
      <c r="AU2" s="46" t="s">
        <v>255</v>
      </c>
      <c r="AV2" s="46" t="s">
        <v>256</v>
      </c>
      <c r="AW2" s="46" t="s">
        <v>257</v>
      </c>
      <c r="AX2" s="46" t="s">
        <v>480</v>
      </c>
      <c r="AY2" s="46" t="s">
        <v>481</v>
      </c>
      <c r="AZ2" s="47" t="s">
        <v>9</v>
      </c>
      <c r="BA2" s="46" t="s">
        <v>258</v>
      </c>
      <c r="BB2" s="46" t="s">
        <v>259</v>
      </c>
      <c r="BC2" s="46" t="s">
        <v>260</v>
      </c>
      <c r="BD2" s="46" t="s">
        <v>261</v>
      </c>
      <c r="BE2" s="46" t="s">
        <v>262</v>
      </c>
      <c r="BF2" s="46" t="s">
        <v>263</v>
      </c>
      <c r="BG2" s="46" t="s">
        <v>264</v>
      </c>
    </row>
    <row r="3" spans="1:59">
      <c r="A3" s="43" t="s">
        <v>482</v>
      </c>
      <c r="B3" s="43">
        <v>1944</v>
      </c>
      <c r="C3" s="43">
        <v>70</v>
      </c>
      <c r="D3" s="43">
        <v>90</v>
      </c>
      <c r="E3" s="43">
        <v>19</v>
      </c>
      <c r="F3" s="43">
        <v>25</v>
      </c>
      <c r="G3" s="43">
        <v>56</v>
      </c>
      <c r="H3" s="43">
        <v>8</v>
      </c>
      <c r="I3" s="43">
        <v>36</v>
      </c>
      <c r="J3" s="43">
        <v>43</v>
      </c>
      <c r="K3" s="43">
        <v>7</v>
      </c>
      <c r="M3" s="43" t="s">
        <v>476</v>
      </c>
      <c r="N3" s="43">
        <v>30</v>
      </c>
      <c r="S3" s="71" t="s">
        <v>483</v>
      </c>
      <c r="T3" s="71" t="s">
        <v>265</v>
      </c>
      <c r="U3" s="15">
        <v>1939</v>
      </c>
      <c r="V3" s="15" t="s">
        <v>266</v>
      </c>
      <c r="W3" s="15" t="s">
        <v>266</v>
      </c>
      <c r="X3" s="15" t="s">
        <v>266</v>
      </c>
      <c r="Y3" s="15" t="s">
        <v>267</v>
      </c>
      <c r="Z3" s="15" t="s">
        <v>268</v>
      </c>
      <c r="AA3" s="26">
        <v>1</v>
      </c>
      <c r="AB3" s="26">
        <v>0.7</v>
      </c>
      <c r="AG3" s="15">
        <v>20</v>
      </c>
      <c r="AH3" s="15"/>
      <c r="AI3" s="15">
        <v>6</v>
      </c>
      <c r="AK3" s="15">
        <v>5</v>
      </c>
      <c r="AO3" s="15">
        <v>6</v>
      </c>
      <c r="AV3" s="15"/>
      <c r="AZ3" s="25">
        <v>2.5</v>
      </c>
      <c r="BD3" s="15">
        <v>1</v>
      </c>
    </row>
    <row r="4" spans="1:59">
      <c r="A4" s="43" t="s">
        <v>484</v>
      </c>
      <c r="B4" s="43">
        <v>1947</v>
      </c>
      <c r="C4" s="43" t="s">
        <v>485</v>
      </c>
      <c r="D4" s="43">
        <v>90</v>
      </c>
      <c r="E4" s="43">
        <v>24</v>
      </c>
      <c r="F4" s="43">
        <v>27</v>
      </c>
      <c r="G4" s="43">
        <v>68</v>
      </c>
      <c r="H4" s="43">
        <v>9</v>
      </c>
      <c r="I4" s="43">
        <v>46</v>
      </c>
      <c r="J4" s="43">
        <v>46</v>
      </c>
      <c r="K4" s="43">
        <v>8</v>
      </c>
      <c r="M4" s="43" t="s">
        <v>476</v>
      </c>
      <c r="N4" s="43">
        <v>30</v>
      </c>
      <c r="S4" s="71"/>
      <c r="T4" s="71"/>
      <c r="U4">
        <v>1942</v>
      </c>
      <c r="V4" t="s">
        <v>269</v>
      </c>
      <c r="W4" t="s">
        <v>269</v>
      </c>
      <c r="X4" t="s">
        <v>269</v>
      </c>
      <c r="Y4" t="s">
        <v>270</v>
      </c>
      <c r="Z4" t="s">
        <v>271</v>
      </c>
      <c r="AA4" s="27">
        <f>AA3+5%</f>
        <v>1.05</v>
      </c>
      <c r="AB4" s="27">
        <f>AB3</f>
        <v>0.7</v>
      </c>
      <c r="AG4" s="34">
        <f>AG3</f>
        <v>20</v>
      </c>
      <c r="AI4">
        <f>AI3</f>
        <v>6</v>
      </c>
      <c r="AK4">
        <f>AK3+2.5</f>
        <v>7.5</v>
      </c>
      <c r="AO4">
        <f>AO3+0.5</f>
        <v>6.5</v>
      </c>
      <c r="AZ4" s="24">
        <f>AZ3+0.4</f>
        <v>2.9</v>
      </c>
      <c r="BD4">
        <v>1</v>
      </c>
    </row>
    <row r="5" spans="1:59">
      <c r="A5" s="43" t="s">
        <v>486</v>
      </c>
      <c r="B5" s="43">
        <v>1950</v>
      </c>
      <c r="C5" s="43" t="s">
        <v>485</v>
      </c>
      <c r="D5" s="43">
        <v>90</v>
      </c>
      <c r="E5" s="43">
        <v>28</v>
      </c>
      <c r="F5" s="43">
        <v>31</v>
      </c>
      <c r="G5" s="43">
        <v>81</v>
      </c>
      <c r="H5" s="43">
        <v>11</v>
      </c>
      <c r="I5" s="43">
        <v>54</v>
      </c>
      <c r="J5" s="43">
        <v>55</v>
      </c>
      <c r="K5" s="43">
        <v>8</v>
      </c>
      <c r="M5" s="43" t="s">
        <v>476</v>
      </c>
      <c r="N5" s="43">
        <v>40</v>
      </c>
      <c r="S5" s="71"/>
      <c r="T5" s="71"/>
      <c r="U5">
        <v>1944</v>
      </c>
      <c r="V5" t="s">
        <v>272</v>
      </c>
      <c r="W5" t="s">
        <v>272</v>
      </c>
      <c r="X5" t="s">
        <v>272</v>
      </c>
      <c r="Y5" t="s">
        <v>273</v>
      </c>
      <c r="Z5" t="s">
        <v>274</v>
      </c>
      <c r="AA5" s="27">
        <f>AA4+5%</f>
        <v>1.1000000000000001</v>
      </c>
      <c r="AB5" s="27">
        <f>AB4</f>
        <v>0.7</v>
      </c>
      <c r="AG5" s="34">
        <f>AG3</f>
        <v>20</v>
      </c>
      <c r="AI5">
        <f>AI4</f>
        <v>6</v>
      </c>
      <c r="AK5">
        <f t="shared" ref="AK5:AK12" si="0">AK4+2.5</f>
        <v>10</v>
      </c>
      <c r="AO5">
        <f t="shared" ref="AO5:AO12" si="1">AO4+0.5</f>
        <v>7</v>
      </c>
      <c r="AZ5" s="24">
        <f t="shared" ref="AZ5:AZ12" si="2">AZ4+0.4</f>
        <v>3.3</v>
      </c>
      <c r="BD5">
        <v>1</v>
      </c>
    </row>
    <row r="6" spans="1:59">
      <c r="A6" s="43" t="s">
        <v>487</v>
      </c>
      <c r="B6" s="43">
        <v>1960</v>
      </c>
      <c r="C6" s="43" t="s">
        <v>485</v>
      </c>
      <c r="D6" s="43">
        <v>90</v>
      </c>
      <c r="E6" s="43">
        <v>33</v>
      </c>
      <c r="F6" s="43">
        <v>36</v>
      </c>
      <c r="G6" s="43">
        <v>95</v>
      </c>
      <c r="H6" s="43">
        <v>13</v>
      </c>
      <c r="I6" s="43">
        <v>66</v>
      </c>
      <c r="J6" s="43">
        <v>61</v>
      </c>
      <c r="K6" s="43">
        <v>9</v>
      </c>
      <c r="M6" s="43" t="s">
        <v>476</v>
      </c>
      <c r="N6" s="43">
        <v>40</v>
      </c>
      <c r="S6" s="71"/>
      <c r="T6" s="71"/>
      <c r="U6">
        <v>1950</v>
      </c>
      <c r="V6" t="s">
        <v>275</v>
      </c>
      <c r="W6" t="s">
        <v>275</v>
      </c>
      <c r="X6" t="s">
        <v>275</v>
      </c>
      <c r="Y6" t="s">
        <v>276</v>
      </c>
      <c r="Z6" t="s">
        <v>277</v>
      </c>
      <c r="AA6" s="27">
        <f>AA5+5%</f>
        <v>1.1500000000000001</v>
      </c>
      <c r="AB6" s="27">
        <f>AB5</f>
        <v>0.7</v>
      </c>
      <c r="AG6" s="34">
        <f>AG3</f>
        <v>20</v>
      </c>
      <c r="AI6">
        <f>AI5</f>
        <v>6</v>
      </c>
      <c r="AK6">
        <f t="shared" si="0"/>
        <v>12.5</v>
      </c>
      <c r="AO6">
        <f t="shared" si="1"/>
        <v>7.5</v>
      </c>
      <c r="AZ6" s="24">
        <f t="shared" si="2"/>
        <v>3.6999999999999997</v>
      </c>
      <c r="BD6">
        <v>2</v>
      </c>
      <c r="BE6">
        <v>1</v>
      </c>
    </row>
    <row r="7" spans="1:59">
      <c r="A7" s="43" t="s">
        <v>488</v>
      </c>
      <c r="B7" s="43">
        <v>1942</v>
      </c>
      <c r="C7" s="43" t="s">
        <v>485</v>
      </c>
      <c r="D7" s="43">
        <v>80</v>
      </c>
      <c r="E7" s="43">
        <v>12</v>
      </c>
      <c r="F7" s="43">
        <v>16</v>
      </c>
      <c r="G7" s="43">
        <v>40</v>
      </c>
      <c r="H7" s="43">
        <v>8</v>
      </c>
      <c r="I7" s="43">
        <v>25</v>
      </c>
      <c r="J7" s="43">
        <v>30</v>
      </c>
      <c r="K7" s="43">
        <v>9</v>
      </c>
      <c r="M7" s="43" t="s">
        <v>489</v>
      </c>
      <c r="N7" s="43">
        <v>15</v>
      </c>
      <c r="S7" s="71"/>
      <c r="T7" s="71"/>
      <c r="U7">
        <v>1960</v>
      </c>
      <c r="V7" t="s">
        <v>278</v>
      </c>
      <c r="W7" t="s">
        <v>278</v>
      </c>
      <c r="X7" t="s">
        <v>278</v>
      </c>
      <c r="Y7" t="s">
        <v>279</v>
      </c>
      <c r="Z7" t="s">
        <v>280</v>
      </c>
      <c r="AA7" s="27">
        <f>AA6+5%</f>
        <v>1.2000000000000002</v>
      </c>
      <c r="AB7" s="27">
        <f>AB6</f>
        <v>0.7</v>
      </c>
      <c r="AG7" s="34">
        <f>AG4</f>
        <v>20</v>
      </c>
      <c r="AI7">
        <f>AI6</f>
        <v>6</v>
      </c>
      <c r="AK7">
        <f t="shared" si="0"/>
        <v>15</v>
      </c>
      <c r="AO7">
        <f t="shared" si="1"/>
        <v>8</v>
      </c>
      <c r="AZ7" s="24">
        <f>AZ6+0.4</f>
        <v>4.0999999999999996</v>
      </c>
      <c r="BD7">
        <v>2</v>
      </c>
      <c r="BE7">
        <v>1</v>
      </c>
    </row>
    <row r="8" spans="1:59">
      <c r="A8" s="43" t="s">
        <v>490</v>
      </c>
      <c r="B8" s="43">
        <v>1944</v>
      </c>
      <c r="C8" s="43" t="s">
        <v>485</v>
      </c>
      <c r="D8" s="43">
        <v>80</v>
      </c>
      <c r="E8" s="43">
        <v>15</v>
      </c>
      <c r="F8" s="43">
        <v>20</v>
      </c>
      <c r="G8" s="43">
        <v>50</v>
      </c>
      <c r="H8" s="43">
        <v>9</v>
      </c>
      <c r="I8" s="43">
        <v>30</v>
      </c>
      <c r="J8" s="43">
        <v>36</v>
      </c>
      <c r="K8" s="43">
        <v>10</v>
      </c>
      <c r="M8" s="43" t="s">
        <v>489</v>
      </c>
      <c r="N8" s="43">
        <v>18</v>
      </c>
      <c r="S8" s="71"/>
      <c r="T8" s="71"/>
      <c r="U8">
        <v>1970</v>
      </c>
      <c r="V8" t="s">
        <v>281</v>
      </c>
      <c r="W8" t="s">
        <v>281</v>
      </c>
      <c r="X8" t="s">
        <v>281</v>
      </c>
      <c r="Y8" t="s">
        <v>282</v>
      </c>
      <c r="Z8" t="s">
        <v>283</v>
      </c>
      <c r="AA8" s="27">
        <f>AA7+5%</f>
        <v>1.2500000000000002</v>
      </c>
      <c r="AB8" s="27">
        <f>AB7</f>
        <v>0.7</v>
      </c>
      <c r="AG8" s="34">
        <f>AG5</f>
        <v>20</v>
      </c>
      <c r="AI8">
        <f>AI7</f>
        <v>6</v>
      </c>
      <c r="AK8">
        <f t="shared" si="0"/>
        <v>17.5</v>
      </c>
      <c r="AO8">
        <f t="shared" si="1"/>
        <v>8.5</v>
      </c>
      <c r="AZ8" s="24">
        <f t="shared" si="2"/>
        <v>4.5</v>
      </c>
      <c r="BD8">
        <v>2</v>
      </c>
      <c r="BE8">
        <v>1</v>
      </c>
    </row>
    <row r="9" spans="1:59">
      <c r="A9" s="43" t="s">
        <v>491</v>
      </c>
      <c r="B9" s="43">
        <v>1947</v>
      </c>
      <c r="C9" s="43" t="s">
        <v>485</v>
      </c>
      <c r="D9" s="43">
        <v>80</v>
      </c>
      <c r="E9" s="43">
        <v>19</v>
      </c>
      <c r="F9" s="43">
        <v>21</v>
      </c>
      <c r="G9" s="43">
        <v>60</v>
      </c>
      <c r="H9" s="43">
        <v>11</v>
      </c>
      <c r="I9" s="43">
        <v>38</v>
      </c>
      <c r="J9" s="43">
        <v>38</v>
      </c>
      <c r="K9" s="43">
        <v>10</v>
      </c>
      <c r="M9" s="43" t="s">
        <v>489</v>
      </c>
      <c r="N9" s="43" t="s">
        <v>492</v>
      </c>
      <c r="S9" s="71"/>
      <c r="T9" s="71"/>
      <c r="U9">
        <v>1980</v>
      </c>
      <c r="V9" t="s">
        <v>284</v>
      </c>
      <c r="W9" t="s">
        <v>284</v>
      </c>
      <c r="X9" t="s">
        <v>284</v>
      </c>
      <c r="Y9" t="s">
        <v>285</v>
      </c>
      <c r="Z9" t="s">
        <v>286</v>
      </c>
      <c r="AA9" s="27">
        <f>AA8+5%</f>
        <v>1.3000000000000003</v>
      </c>
      <c r="AB9" s="27">
        <f>AB8</f>
        <v>0.7</v>
      </c>
      <c r="AG9" s="34">
        <f>AG6</f>
        <v>20</v>
      </c>
      <c r="AI9">
        <f>AI8</f>
        <v>6</v>
      </c>
      <c r="AK9">
        <f t="shared" si="0"/>
        <v>20</v>
      </c>
      <c r="AO9">
        <f t="shared" si="1"/>
        <v>9</v>
      </c>
      <c r="AZ9" s="24">
        <f t="shared" si="2"/>
        <v>4.9000000000000004</v>
      </c>
      <c r="BD9">
        <v>2</v>
      </c>
      <c r="BE9">
        <v>1</v>
      </c>
    </row>
    <row r="10" spans="1:59">
      <c r="A10" s="43" t="s">
        <v>493</v>
      </c>
      <c r="B10" s="43">
        <v>1950</v>
      </c>
      <c r="C10" s="43" t="s">
        <v>485</v>
      </c>
      <c r="D10" s="43">
        <v>80</v>
      </c>
      <c r="E10" s="43">
        <v>22</v>
      </c>
      <c r="F10" s="43">
        <v>25</v>
      </c>
      <c r="G10" s="43">
        <v>72</v>
      </c>
      <c r="H10" s="43">
        <v>14</v>
      </c>
      <c r="I10" s="43">
        <v>45</v>
      </c>
      <c r="J10" s="43">
        <v>46</v>
      </c>
      <c r="K10" s="43">
        <v>11</v>
      </c>
      <c r="M10" s="43" t="s">
        <v>489</v>
      </c>
      <c r="N10" s="43">
        <v>26</v>
      </c>
      <c r="S10" s="71"/>
      <c r="T10" s="71"/>
      <c r="U10">
        <v>1990</v>
      </c>
      <c r="V10" t="s">
        <v>287</v>
      </c>
      <c r="W10" t="s">
        <v>287</v>
      </c>
      <c r="X10" t="s">
        <v>287</v>
      </c>
      <c r="Y10" t="s">
        <v>288</v>
      </c>
      <c r="Z10" t="s">
        <v>289</v>
      </c>
      <c r="AA10" s="27">
        <f>AA9+5%</f>
        <v>1.3500000000000003</v>
      </c>
      <c r="AB10" s="27">
        <f>AB9</f>
        <v>0.7</v>
      </c>
      <c r="AG10" s="34">
        <f>AG7</f>
        <v>20</v>
      </c>
      <c r="AI10">
        <f>AI9</f>
        <v>6</v>
      </c>
      <c r="AK10">
        <f t="shared" si="0"/>
        <v>22.5</v>
      </c>
      <c r="AO10">
        <f t="shared" si="1"/>
        <v>9.5</v>
      </c>
      <c r="AZ10" s="24">
        <f t="shared" si="2"/>
        <v>5.3000000000000007</v>
      </c>
      <c r="BD10">
        <v>2</v>
      </c>
      <c r="BE10">
        <v>1</v>
      </c>
    </row>
    <row r="11" spans="1:59">
      <c r="A11" s="43" t="s">
        <v>494</v>
      </c>
      <c r="B11" s="43">
        <v>1960</v>
      </c>
      <c r="C11" s="43" t="s">
        <v>485</v>
      </c>
      <c r="D11" s="43">
        <v>80</v>
      </c>
      <c r="E11" s="43">
        <v>26</v>
      </c>
      <c r="F11" s="43">
        <v>29</v>
      </c>
      <c r="G11" s="43">
        <v>84</v>
      </c>
      <c r="H11" s="43">
        <v>16</v>
      </c>
      <c r="I11" s="43">
        <v>55</v>
      </c>
      <c r="J11" s="43">
        <v>50</v>
      </c>
      <c r="K11" s="43">
        <v>12</v>
      </c>
      <c r="M11" s="43" t="s">
        <v>489</v>
      </c>
      <c r="N11" s="43">
        <v>30</v>
      </c>
      <c r="S11" s="71"/>
      <c r="T11" s="71"/>
      <c r="U11">
        <v>2000</v>
      </c>
      <c r="V11" t="s">
        <v>290</v>
      </c>
      <c r="W11" t="s">
        <v>290</v>
      </c>
      <c r="X11" t="s">
        <v>290</v>
      </c>
      <c r="Y11" t="s">
        <v>291</v>
      </c>
      <c r="Z11" t="s">
        <v>292</v>
      </c>
      <c r="AA11" s="27">
        <f>AA10+5%</f>
        <v>1.4000000000000004</v>
      </c>
      <c r="AB11" s="27">
        <f>AB10</f>
        <v>0.7</v>
      </c>
      <c r="AG11" s="34">
        <f>AG8</f>
        <v>20</v>
      </c>
      <c r="AI11">
        <f>AI10</f>
        <v>6</v>
      </c>
      <c r="AK11">
        <f t="shared" si="0"/>
        <v>25</v>
      </c>
      <c r="AO11">
        <f t="shared" si="1"/>
        <v>10</v>
      </c>
      <c r="AZ11" s="24">
        <f t="shared" si="2"/>
        <v>5.7000000000000011</v>
      </c>
      <c r="BD11">
        <v>2</v>
      </c>
      <c r="BE11">
        <v>1</v>
      </c>
    </row>
    <row r="12" spans="1:59">
      <c r="A12" s="43" t="s">
        <v>495</v>
      </c>
      <c r="B12" s="43">
        <v>1965</v>
      </c>
      <c r="C12" s="43" t="s">
        <v>485</v>
      </c>
      <c r="D12" s="43">
        <v>80</v>
      </c>
      <c r="E12" s="43">
        <v>30</v>
      </c>
      <c r="F12" s="43">
        <v>33</v>
      </c>
      <c r="G12" s="43">
        <v>98</v>
      </c>
      <c r="H12" s="43">
        <v>18</v>
      </c>
      <c r="I12" s="43">
        <v>60</v>
      </c>
      <c r="J12" s="43">
        <v>61</v>
      </c>
      <c r="K12" s="43">
        <v>13</v>
      </c>
      <c r="M12" s="43" t="s">
        <v>489</v>
      </c>
      <c r="N12" s="43">
        <v>34</v>
      </c>
      <c r="S12" s="71"/>
      <c r="T12" s="71"/>
      <c r="U12">
        <v>2010</v>
      </c>
      <c r="V12" t="s">
        <v>293</v>
      </c>
      <c r="W12" t="s">
        <v>293</v>
      </c>
      <c r="X12" t="s">
        <v>293</v>
      </c>
      <c r="Y12" t="s">
        <v>294</v>
      </c>
      <c r="Z12" t="s">
        <v>295</v>
      </c>
      <c r="AA12" s="27">
        <f>AA11+5%</f>
        <v>1.4500000000000004</v>
      </c>
      <c r="AB12" s="27">
        <f>AB11</f>
        <v>0.7</v>
      </c>
      <c r="AG12" s="34">
        <f>AG9</f>
        <v>20</v>
      </c>
      <c r="AI12">
        <f>AI11</f>
        <v>6</v>
      </c>
      <c r="AK12">
        <f t="shared" si="0"/>
        <v>27.5</v>
      </c>
      <c r="AO12">
        <f t="shared" si="1"/>
        <v>10.5</v>
      </c>
      <c r="AZ12" s="24">
        <f t="shared" si="2"/>
        <v>6.1000000000000014</v>
      </c>
      <c r="BD12">
        <v>2</v>
      </c>
      <c r="BE12">
        <v>1</v>
      </c>
    </row>
    <row r="13" spans="1:59">
      <c r="A13" s="43" t="s">
        <v>496</v>
      </c>
      <c r="B13" s="43">
        <v>1975</v>
      </c>
      <c r="C13" s="43" t="s">
        <v>485</v>
      </c>
      <c r="D13" s="43">
        <v>80</v>
      </c>
      <c r="E13" s="43">
        <v>34</v>
      </c>
      <c r="F13" s="43">
        <v>37</v>
      </c>
      <c r="G13" s="43">
        <v>112</v>
      </c>
      <c r="H13" s="43">
        <v>21</v>
      </c>
      <c r="I13" s="43">
        <v>70</v>
      </c>
      <c r="J13" s="43">
        <v>66</v>
      </c>
      <c r="K13" s="43">
        <v>14</v>
      </c>
      <c r="M13" s="43" t="s">
        <v>489</v>
      </c>
      <c r="N13" s="43" t="s">
        <v>497</v>
      </c>
      <c r="S13" s="71"/>
    </row>
    <row r="14" spans="1:59">
      <c r="A14" s="44" t="s">
        <v>498</v>
      </c>
      <c r="B14" s="44">
        <v>1985</v>
      </c>
      <c r="C14" s="44" t="s">
        <v>485</v>
      </c>
      <c r="D14" s="44">
        <v>80</v>
      </c>
      <c r="E14" s="44">
        <v>41</v>
      </c>
      <c r="F14" s="44">
        <v>43</v>
      </c>
      <c r="G14" s="44">
        <v>128</v>
      </c>
      <c r="H14" s="44">
        <v>24</v>
      </c>
      <c r="I14" s="44">
        <v>80</v>
      </c>
      <c r="J14" s="44">
        <v>75</v>
      </c>
      <c r="K14" s="44">
        <v>14</v>
      </c>
      <c r="L14" s="19"/>
      <c r="M14" s="44" t="s">
        <v>489</v>
      </c>
      <c r="N14" s="44">
        <v>42</v>
      </c>
      <c r="S14" s="71"/>
      <c r="T14" s="71" t="s">
        <v>296</v>
      </c>
      <c r="U14" s="15">
        <v>1939</v>
      </c>
      <c r="V14" s="15" t="s">
        <v>297</v>
      </c>
      <c r="W14" s="15" t="s">
        <v>297</v>
      </c>
      <c r="X14" s="15" t="s">
        <v>297</v>
      </c>
      <c r="Y14" s="15" t="s">
        <v>298</v>
      </c>
      <c r="Z14" s="15" t="s">
        <v>299</v>
      </c>
      <c r="AA14" s="26">
        <v>1.1000000000000001</v>
      </c>
      <c r="AB14" s="26">
        <v>0.8</v>
      </c>
      <c r="AG14" s="15">
        <v>30</v>
      </c>
      <c r="AH14" s="15"/>
      <c r="AI14" s="15">
        <v>5</v>
      </c>
      <c r="AK14" s="15">
        <v>30</v>
      </c>
      <c r="AO14" s="15">
        <v>5</v>
      </c>
      <c r="AV14" s="15"/>
      <c r="AZ14" s="25">
        <v>5</v>
      </c>
      <c r="BD14">
        <v>2</v>
      </c>
    </row>
    <row r="15" spans="1:59">
      <c r="A15" s="43" t="s">
        <v>499</v>
      </c>
      <c r="B15" s="43">
        <v>1980</v>
      </c>
      <c r="C15" s="43">
        <v>140</v>
      </c>
      <c r="D15" s="43">
        <v>80</v>
      </c>
      <c r="E15" s="43"/>
      <c r="F15" s="43"/>
      <c r="G15" s="43">
        <v>30</v>
      </c>
      <c r="H15" s="43">
        <v>6</v>
      </c>
      <c r="I15" s="43">
        <v>60</v>
      </c>
      <c r="J15" s="43"/>
      <c r="K15" s="43">
        <v>9</v>
      </c>
      <c r="M15" s="43"/>
      <c r="N15" s="43">
        <v>24</v>
      </c>
      <c r="S15" s="71"/>
      <c r="T15" s="71"/>
      <c r="U15">
        <v>1942</v>
      </c>
      <c r="V15" t="s">
        <v>300</v>
      </c>
      <c r="W15" t="s">
        <v>300</v>
      </c>
      <c r="X15" t="s">
        <v>300</v>
      </c>
      <c r="Y15" s="34" t="s">
        <v>301</v>
      </c>
      <c r="Z15" t="s">
        <v>302</v>
      </c>
      <c r="AA15" s="27">
        <f>AA14+5%</f>
        <v>1.1500000000000001</v>
      </c>
      <c r="AB15" s="27">
        <f>AB14</f>
        <v>0.8</v>
      </c>
      <c r="AG15" s="34">
        <f>AG14</f>
        <v>30</v>
      </c>
      <c r="AI15">
        <f>AI14</f>
        <v>5</v>
      </c>
      <c r="AK15">
        <f t="shared" ref="AK15:AK23" si="3">AK14+5</f>
        <v>35</v>
      </c>
      <c r="AO15">
        <f t="shared" ref="AO15:AO23" si="4">AO14+0.5</f>
        <v>5.5</v>
      </c>
      <c r="AZ15" s="24">
        <f>AZ14+0.75</f>
        <v>5.75</v>
      </c>
      <c r="BD15">
        <v>2</v>
      </c>
    </row>
    <row r="16" spans="1:59">
      <c r="A16" s="43" t="s">
        <v>500</v>
      </c>
      <c r="B16" s="43">
        <v>1995</v>
      </c>
      <c r="C16" s="43" t="s">
        <v>485</v>
      </c>
      <c r="D16" s="43">
        <v>80</v>
      </c>
      <c r="E16" s="43">
        <v>46</v>
      </c>
      <c r="F16" s="43">
        <v>48</v>
      </c>
      <c r="G16" s="43">
        <v>144</v>
      </c>
      <c r="H16" s="43">
        <v>27</v>
      </c>
      <c r="I16" s="43">
        <v>90</v>
      </c>
      <c r="J16" s="43">
        <v>80</v>
      </c>
      <c r="K16" s="43">
        <v>15</v>
      </c>
      <c r="M16" s="43" t="s">
        <v>489</v>
      </c>
      <c r="N16" s="43">
        <v>45</v>
      </c>
      <c r="S16" s="71"/>
      <c r="T16" s="71"/>
      <c r="U16">
        <v>1944</v>
      </c>
      <c r="V16" t="s">
        <v>303</v>
      </c>
      <c r="W16" t="s">
        <v>303</v>
      </c>
      <c r="X16" t="s">
        <v>303</v>
      </c>
      <c r="Y16" s="34" t="s">
        <v>304</v>
      </c>
      <c r="Z16" t="s">
        <v>305</v>
      </c>
      <c r="AA16" s="27">
        <f>AA15+5%</f>
        <v>1.2000000000000002</v>
      </c>
      <c r="AB16" s="27">
        <f>AB15</f>
        <v>0.8</v>
      </c>
      <c r="AG16" s="34">
        <f>AG15</f>
        <v>30</v>
      </c>
      <c r="AI16">
        <f t="shared" ref="AI16:AI23" si="5">AI15</f>
        <v>5</v>
      </c>
      <c r="AK16">
        <f t="shared" si="3"/>
        <v>40</v>
      </c>
      <c r="AO16">
        <f t="shared" si="4"/>
        <v>6</v>
      </c>
      <c r="AZ16" s="24">
        <f t="shared" ref="AZ16:AZ23" si="6">AZ15+0.75</f>
        <v>6.5</v>
      </c>
      <c r="BD16">
        <v>2</v>
      </c>
    </row>
    <row r="17" spans="1:59">
      <c r="A17" s="43" t="s">
        <v>501</v>
      </c>
      <c r="B17" s="43">
        <v>2005</v>
      </c>
      <c r="C17" s="43" t="s">
        <v>485</v>
      </c>
      <c r="D17" s="43">
        <v>80</v>
      </c>
      <c r="E17" s="43">
        <v>50</v>
      </c>
      <c r="F17" s="43">
        <v>54</v>
      </c>
      <c r="G17" s="43">
        <v>162</v>
      </c>
      <c r="H17" s="43">
        <v>30</v>
      </c>
      <c r="I17" s="43">
        <v>100</v>
      </c>
      <c r="J17" s="43">
        <v>85</v>
      </c>
      <c r="K17" s="43">
        <v>17</v>
      </c>
      <c r="M17" s="43" t="s">
        <v>489</v>
      </c>
      <c r="N17" s="43">
        <v>50</v>
      </c>
      <c r="S17" s="71"/>
      <c r="T17" s="71"/>
      <c r="U17">
        <v>1950</v>
      </c>
      <c r="V17" t="s">
        <v>306</v>
      </c>
      <c r="W17" t="s">
        <v>306</v>
      </c>
      <c r="X17" t="s">
        <v>306</v>
      </c>
      <c r="Y17" s="34" t="s">
        <v>307</v>
      </c>
      <c r="Z17" t="s">
        <v>308</v>
      </c>
      <c r="AA17" s="27">
        <f>AA16+5%</f>
        <v>1.2500000000000002</v>
      </c>
      <c r="AB17" s="27">
        <f>AB16</f>
        <v>0.8</v>
      </c>
      <c r="AG17" s="34">
        <f>AG16</f>
        <v>30</v>
      </c>
      <c r="AI17">
        <f t="shared" si="5"/>
        <v>5</v>
      </c>
      <c r="AK17">
        <f t="shared" si="3"/>
        <v>45</v>
      </c>
      <c r="AO17">
        <f t="shared" si="4"/>
        <v>6.5</v>
      </c>
      <c r="AZ17" s="24">
        <f t="shared" si="6"/>
        <v>7.25</v>
      </c>
      <c r="BD17">
        <v>3</v>
      </c>
    </row>
    <row r="18" spans="1:59">
      <c r="A18" s="43" t="s">
        <v>502</v>
      </c>
      <c r="B18" s="43">
        <v>1942</v>
      </c>
      <c r="C18" s="43" t="s">
        <v>485</v>
      </c>
      <c r="D18" s="43">
        <v>70</v>
      </c>
      <c r="E18" s="43">
        <v>9</v>
      </c>
      <c r="F18" s="43">
        <v>8</v>
      </c>
      <c r="G18" s="43">
        <v>35</v>
      </c>
      <c r="H18" s="43">
        <v>9</v>
      </c>
      <c r="I18" s="43">
        <v>20</v>
      </c>
      <c r="J18" s="43">
        <v>24</v>
      </c>
      <c r="K18" s="43">
        <v>11</v>
      </c>
      <c r="M18" s="43" t="s">
        <v>503</v>
      </c>
      <c r="N18" s="43">
        <v>10</v>
      </c>
      <c r="S18" s="71"/>
      <c r="T18" s="71"/>
      <c r="U18">
        <v>1960</v>
      </c>
      <c r="V18" t="s">
        <v>309</v>
      </c>
      <c r="W18" t="s">
        <v>309</v>
      </c>
      <c r="X18" t="s">
        <v>309</v>
      </c>
      <c r="Y18" s="34" t="s">
        <v>310</v>
      </c>
      <c r="Z18" t="s">
        <v>311</v>
      </c>
      <c r="AA18" s="27">
        <f>AA17+5%</f>
        <v>1.3000000000000003</v>
      </c>
      <c r="AB18" s="27">
        <f>AB17</f>
        <v>0.8</v>
      </c>
      <c r="AG18" s="34">
        <f>AG17</f>
        <v>30</v>
      </c>
      <c r="AI18">
        <f t="shared" si="5"/>
        <v>5</v>
      </c>
      <c r="AK18">
        <f t="shared" si="3"/>
        <v>50</v>
      </c>
      <c r="AO18">
        <f t="shared" si="4"/>
        <v>7</v>
      </c>
      <c r="AZ18" s="24">
        <f t="shared" si="6"/>
        <v>8</v>
      </c>
      <c r="BD18">
        <v>3</v>
      </c>
    </row>
    <row r="19" spans="1:59">
      <c r="A19" s="43" t="s">
        <v>504</v>
      </c>
      <c r="B19" s="43">
        <v>1944</v>
      </c>
      <c r="C19" s="43" t="s">
        <v>485</v>
      </c>
      <c r="D19" s="43">
        <v>70</v>
      </c>
      <c r="E19" s="43">
        <v>11</v>
      </c>
      <c r="F19" s="43">
        <v>10</v>
      </c>
      <c r="G19" s="43">
        <v>44</v>
      </c>
      <c r="H19" s="43">
        <v>11</v>
      </c>
      <c r="I19" s="43">
        <v>24</v>
      </c>
      <c r="J19" s="43">
        <v>29</v>
      </c>
      <c r="K19" s="43">
        <v>12</v>
      </c>
      <c r="M19" s="43" t="s">
        <v>503</v>
      </c>
      <c r="N19" s="43" t="s">
        <v>505</v>
      </c>
      <c r="S19" s="71"/>
      <c r="T19" s="71"/>
      <c r="U19">
        <v>1970</v>
      </c>
      <c r="V19" t="s">
        <v>312</v>
      </c>
      <c r="W19" t="s">
        <v>312</v>
      </c>
      <c r="X19" t="s">
        <v>312</v>
      </c>
      <c r="Y19" s="34" t="s">
        <v>313</v>
      </c>
      <c r="Z19" t="s">
        <v>314</v>
      </c>
      <c r="AA19" s="27">
        <f>AA18+5%</f>
        <v>1.3500000000000003</v>
      </c>
      <c r="AB19" s="27">
        <f>AB18</f>
        <v>0.8</v>
      </c>
      <c r="AG19" s="34">
        <f>AG18</f>
        <v>30</v>
      </c>
      <c r="AI19">
        <f t="shared" si="5"/>
        <v>5</v>
      </c>
      <c r="AK19">
        <f t="shared" si="3"/>
        <v>55</v>
      </c>
      <c r="AO19">
        <f t="shared" si="4"/>
        <v>7.5</v>
      </c>
      <c r="AZ19" s="24">
        <f t="shared" si="6"/>
        <v>8.75</v>
      </c>
      <c r="BD19">
        <v>3</v>
      </c>
    </row>
    <row r="20" spans="1:59">
      <c r="A20" s="43" t="s">
        <v>506</v>
      </c>
      <c r="B20" s="43">
        <v>1947</v>
      </c>
      <c r="C20" s="43" t="s">
        <v>485</v>
      </c>
      <c r="D20" s="43">
        <v>70</v>
      </c>
      <c r="E20" s="43">
        <v>14</v>
      </c>
      <c r="F20" s="43">
        <v>11</v>
      </c>
      <c r="G20" s="43">
        <v>53</v>
      </c>
      <c r="H20" s="43">
        <v>13</v>
      </c>
      <c r="I20" s="43">
        <v>30</v>
      </c>
      <c r="J20" s="43">
        <v>31</v>
      </c>
      <c r="K20" s="43">
        <v>13</v>
      </c>
      <c r="M20" s="43" t="s">
        <v>503</v>
      </c>
      <c r="N20" s="43">
        <v>15</v>
      </c>
      <c r="S20" s="71"/>
      <c r="T20" s="71"/>
      <c r="U20">
        <v>1980</v>
      </c>
      <c r="V20" t="s">
        <v>315</v>
      </c>
      <c r="W20" t="s">
        <v>315</v>
      </c>
      <c r="X20" t="s">
        <v>315</v>
      </c>
      <c r="Y20" s="34" t="s">
        <v>316</v>
      </c>
      <c r="Z20" t="s">
        <v>317</v>
      </c>
      <c r="AA20" s="27">
        <f>AA19+5%</f>
        <v>1.4000000000000004</v>
      </c>
      <c r="AB20" s="27">
        <f>AB19</f>
        <v>0.8</v>
      </c>
      <c r="AG20" s="34">
        <f>AG19</f>
        <v>30</v>
      </c>
      <c r="AI20">
        <f t="shared" si="5"/>
        <v>5</v>
      </c>
      <c r="AK20">
        <f t="shared" si="3"/>
        <v>60</v>
      </c>
      <c r="AO20">
        <f t="shared" si="4"/>
        <v>8</v>
      </c>
      <c r="AZ20" s="24">
        <f t="shared" si="6"/>
        <v>9.5</v>
      </c>
      <c r="BD20">
        <v>3</v>
      </c>
    </row>
    <row r="21" spans="1:59">
      <c r="A21" s="43" t="s">
        <v>507</v>
      </c>
      <c r="B21" s="43">
        <v>1960</v>
      </c>
      <c r="C21" s="43" t="s">
        <v>485</v>
      </c>
      <c r="D21" s="43">
        <v>70</v>
      </c>
      <c r="E21" s="43">
        <v>20</v>
      </c>
      <c r="F21" s="43">
        <v>15</v>
      </c>
      <c r="G21" s="43">
        <v>74</v>
      </c>
      <c r="H21" s="43">
        <v>18</v>
      </c>
      <c r="I21" s="43">
        <v>44</v>
      </c>
      <c r="J21" s="43">
        <v>40</v>
      </c>
      <c r="K21" s="43">
        <v>15</v>
      </c>
      <c r="M21" s="43" t="s">
        <v>503</v>
      </c>
      <c r="N21" s="43">
        <v>20</v>
      </c>
      <c r="S21" s="71"/>
      <c r="T21" s="71"/>
      <c r="U21">
        <v>1990</v>
      </c>
      <c r="V21" t="s">
        <v>318</v>
      </c>
      <c r="W21" t="s">
        <v>318</v>
      </c>
      <c r="X21" t="s">
        <v>318</v>
      </c>
      <c r="Y21" s="34" t="s">
        <v>319</v>
      </c>
      <c r="Z21" t="s">
        <v>320</v>
      </c>
      <c r="AA21" s="27">
        <f>AA20+5%</f>
        <v>1.4500000000000004</v>
      </c>
      <c r="AB21" s="27">
        <f>AB20</f>
        <v>0.8</v>
      </c>
      <c r="AG21" s="34">
        <f>AG20</f>
        <v>30</v>
      </c>
      <c r="AI21">
        <f t="shared" si="5"/>
        <v>5</v>
      </c>
      <c r="AK21">
        <f t="shared" si="3"/>
        <v>65</v>
      </c>
      <c r="AO21">
        <f t="shared" si="4"/>
        <v>8.5</v>
      </c>
      <c r="AZ21" s="24">
        <f t="shared" si="6"/>
        <v>10.25</v>
      </c>
      <c r="BD21">
        <v>3</v>
      </c>
    </row>
    <row r="22" spans="1:59">
      <c r="A22" s="43" t="s">
        <v>508</v>
      </c>
      <c r="B22" s="43">
        <v>1975</v>
      </c>
      <c r="C22" s="43" t="s">
        <v>485</v>
      </c>
      <c r="D22" s="43">
        <v>70</v>
      </c>
      <c r="E22" s="43">
        <v>26</v>
      </c>
      <c r="F22" s="43">
        <v>19</v>
      </c>
      <c r="G22" s="43">
        <v>98</v>
      </c>
      <c r="H22" s="43">
        <v>25</v>
      </c>
      <c r="I22" s="43">
        <v>56</v>
      </c>
      <c r="J22" s="43">
        <v>53</v>
      </c>
      <c r="K22" s="43">
        <v>17</v>
      </c>
      <c r="M22" s="43" t="s">
        <v>503</v>
      </c>
      <c r="N22" s="43">
        <v>25</v>
      </c>
      <c r="S22" s="71"/>
      <c r="T22" s="71"/>
      <c r="U22">
        <v>2000</v>
      </c>
      <c r="V22" t="s">
        <v>321</v>
      </c>
      <c r="W22" t="s">
        <v>321</v>
      </c>
      <c r="X22" t="s">
        <v>321</v>
      </c>
      <c r="Y22" s="34" t="s">
        <v>322</v>
      </c>
      <c r="Z22" t="s">
        <v>323</v>
      </c>
      <c r="AA22" s="27">
        <f>AA21+5%</f>
        <v>1.5000000000000004</v>
      </c>
      <c r="AB22" s="27">
        <f>AB21</f>
        <v>0.8</v>
      </c>
      <c r="AG22" s="34">
        <f>AG21</f>
        <v>30</v>
      </c>
      <c r="AI22">
        <f t="shared" si="5"/>
        <v>5</v>
      </c>
      <c r="AK22">
        <f t="shared" si="3"/>
        <v>70</v>
      </c>
      <c r="AO22">
        <f t="shared" si="4"/>
        <v>9</v>
      </c>
      <c r="AZ22" s="24">
        <f t="shared" si="6"/>
        <v>11</v>
      </c>
      <c r="BD22">
        <v>3</v>
      </c>
    </row>
    <row r="23" spans="1:59">
      <c r="A23" s="43" t="s">
        <v>509</v>
      </c>
      <c r="B23" s="43">
        <v>1995</v>
      </c>
      <c r="C23" s="43" t="s">
        <v>485</v>
      </c>
      <c r="D23" s="43">
        <v>70</v>
      </c>
      <c r="E23" s="43">
        <v>34</v>
      </c>
      <c r="F23" s="43">
        <v>24</v>
      </c>
      <c r="G23" s="43">
        <v>126</v>
      </c>
      <c r="H23" s="43">
        <v>32</v>
      </c>
      <c r="I23" s="43">
        <v>72</v>
      </c>
      <c r="J23" s="43">
        <v>64</v>
      </c>
      <c r="K23" s="43">
        <v>19</v>
      </c>
      <c r="M23" s="43" t="s">
        <v>503</v>
      </c>
      <c r="N23" s="43">
        <v>30</v>
      </c>
      <c r="S23" s="71"/>
      <c r="T23" s="71"/>
      <c r="U23">
        <v>2010</v>
      </c>
      <c r="V23" t="s">
        <v>324</v>
      </c>
      <c r="W23" t="s">
        <v>324</v>
      </c>
      <c r="X23" t="s">
        <v>324</v>
      </c>
      <c r="Y23" s="34" t="s">
        <v>325</v>
      </c>
      <c r="Z23" t="s">
        <v>326</v>
      </c>
      <c r="AA23" s="27">
        <f>AA22+5%</f>
        <v>1.5500000000000005</v>
      </c>
      <c r="AB23" s="27">
        <f>AB22</f>
        <v>0.8</v>
      </c>
      <c r="AG23" s="34">
        <f>AG22</f>
        <v>30</v>
      </c>
      <c r="AI23">
        <f t="shared" si="5"/>
        <v>5</v>
      </c>
      <c r="AK23">
        <f t="shared" si="3"/>
        <v>75</v>
      </c>
      <c r="AO23">
        <f t="shared" si="4"/>
        <v>9.5</v>
      </c>
      <c r="AZ23" s="24">
        <f>AZ22+0.75</f>
        <v>11.75</v>
      </c>
      <c r="BD23">
        <v>3</v>
      </c>
    </row>
    <row r="24" spans="1:59">
      <c r="A24" s="43" t="s">
        <v>510</v>
      </c>
      <c r="B24" s="43">
        <v>1942</v>
      </c>
      <c r="C24" s="43" t="s">
        <v>485</v>
      </c>
      <c r="D24" s="43">
        <v>50</v>
      </c>
      <c r="E24" s="43">
        <v>0</v>
      </c>
      <c r="F24" s="43">
        <v>0</v>
      </c>
      <c r="G24" s="43">
        <v>4</v>
      </c>
      <c r="H24" s="43">
        <v>10</v>
      </c>
      <c r="I24" s="43">
        <v>10</v>
      </c>
      <c r="J24" s="43">
        <v>0</v>
      </c>
      <c r="K24" s="43">
        <v>12</v>
      </c>
      <c r="M24" s="43" t="s">
        <v>503</v>
      </c>
      <c r="N24" s="43">
        <v>5</v>
      </c>
      <c r="S24" s="71"/>
    </row>
    <row r="25" spans="1:59">
      <c r="A25" s="43" t="s">
        <v>511</v>
      </c>
      <c r="B25" s="43">
        <v>1944</v>
      </c>
      <c r="C25" s="43" t="s">
        <v>485</v>
      </c>
      <c r="D25" s="43">
        <v>50</v>
      </c>
      <c r="E25" s="43">
        <v>0</v>
      </c>
      <c r="F25" s="43">
        <v>0</v>
      </c>
      <c r="G25" s="43">
        <v>5</v>
      </c>
      <c r="H25" s="43">
        <v>13</v>
      </c>
      <c r="I25" s="43">
        <v>12</v>
      </c>
      <c r="J25" s="43">
        <v>0</v>
      </c>
      <c r="K25" s="43">
        <v>13</v>
      </c>
      <c r="M25" s="43" t="s">
        <v>503</v>
      </c>
      <c r="N25" s="43">
        <v>6</v>
      </c>
      <c r="S25" s="71"/>
      <c r="T25" s="71" t="s">
        <v>327</v>
      </c>
      <c r="U25" s="15">
        <v>1939</v>
      </c>
      <c r="V25" s="15" t="s">
        <v>328</v>
      </c>
      <c r="W25" s="15" t="s">
        <v>328</v>
      </c>
      <c r="X25" s="15" t="s">
        <v>328</v>
      </c>
      <c r="Y25" s="15" t="s">
        <v>329</v>
      </c>
      <c r="Z25" s="15" t="s">
        <v>330</v>
      </c>
      <c r="AA25" s="26">
        <v>1.2</v>
      </c>
      <c r="AB25" s="33">
        <v>0.85</v>
      </c>
      <c r="AG25" s="15">
        <v>35</v>
      </c>
      <c r="AI25" s="15">
        <v>4</v>
      </c>
      <c r="AK25" s="15">
        <v>45</v>
      </c>
      <c r="AO25" s="15">
        <v>4</v>
      </c>
      <c r="AV25" s="15"/>
      <c r="AZ25" s="25">
        <v>9</v>
      </c>
      <c r="BD25">
        <v>3</v>
      </c>
    </row>
    <row r="26" spans="1:59">
      <c r="A26" s="43" t="s">
        <v>512</v>
      </c>
      <c r="B26" s="43">
        <v>1947</v>
      </c>
      <c r="C26" s="43" t="s">
        <v>485</v>
      </c>
      <c r="D26" s="43">
        <v>60</v>
      </c>
      <c r="E26" s="43">
        <v>6</v>
      </c>
      <c r="F26" s="43">
        <v>9</v>
      </c>
      <c r="G26" s="43">
        <v>12</v>
      </c>
      <c r="H26" s="43">
        <v>30</v>
      </c>
      <c r="I26" s="43">
        <v>30</v>
      </c>
      <c r="J26" s="43">
        <v>15</v>
      </c>
      <c r="K26" s="43">
        <v>12</v>
      </c>
      <c r="M26" s="43" t="s">
        <v>513</v>
      </c>
      <c r="N26" s="43" t="s">
        <v>505</v>
      </c>
      <c r="S26" s="71"/>
      <c r="T26" s="71"/>
      <c r="U26">
        <v>1942</v>
      </c>
      <c r="V26" t="s">
        <v>331</v>
      </c>
      <c r="W26" t="s">
        <v>331</v>
      </c>
      <c r="X26" t="s">
        <v>331</v>
      </c>
      <c r="Y26" t="s">
        <v>332</v>
      </c>
      <c r="Z26" t="s">
        <v>333</v>
      </c>
      <c r="AA26" s="27">
        <f>AA25+5%</f>
        <v>1.25</v>
      </c>
      <c r="AB26" s="27">
        <f>AB25</f>
        <v>0.85</v>
      </c>
      <c r="AG26" s="34">
        <f>AG25</f>
        <v>35</v>
      </c>
      <c r="AI26">
        <f>AI25</f>
        <v>4</v>
      </c>
      <c r="AK26">
        <f t="shared" ref="AK26:AK29" si="7">AK25+5</f>
        <v>50</v>
      </c>
      <c r="AO26">
        <f t="shared" ref="AO26:AO29" si="8">AO25+0.5</f>
        <v>4.5</v>
      </c>
      <c r="AZ26" s="24">
        <f>AZ25+1</f>
        <v>10</v>
      </c>
      <c r="BD26">
        <v>3</v>
      </c>
    </row>
    <row r="27" spans="1:59">
      <c r="A27" s="43" t="s">
        <v>514</v>
      </c>
      <c r="B27" s="43">
        <v>1950</v>
      </c>
      <c r="C27" s="43" t="s">
        <v>485</v>
      </c>
      <c r="D27" s="43">
        <v>60</v>
      </c>
      <c r="E27" s="43">
        <v>7</v>
      </c>
      <c r="F27" s="43">
        <v>10</v>
      </c>
      <c r="G27" s="43">
        <v>14</v>
      </c>
      <c r="H27" s="43">
        <v>35</v>
      </c>
      <c r="I27" s="43">
        <v>36</v>
      </c>
      <c r="J27" s="43">
        <v>18</v>
      </c>
      <c r="K27" s="43">
        <v>13</v>
      </c>
      <c r="M27" s="43" t="s">
        <v>513</v>
      </c>
      <c r="N27" s="43">
        <v>14</v>
      </c>
      <c r="S27" s="71"/>
      <c r="T27" s="71"/>
      <c r="U27">
        <v>1944</v>
      </c>
      <c r="V27" t="s">
        <v>334</v>
      </c>
      <c r="W27" t="s">
        <v>334</v>
      </c>
      <c r="X27" t="s">
        <v>334</v>
      </c>
      <c r="Y27" t="s">
        <v>335</v>
      </c>
      <c r="Z27" t="s">
        <v>336</v>
      </c>
      <c r="AA27" s="27">
        <f>AA26+5%</f>
        <v>1.3</v>
      </c>
      <c r="AB27" s="27">
        <f>AB26</f>
        <v>0.85</v>
      </c>
      <c r="AG27" s="34">
        <f>AG26</f>
        <v>35</v>
      </c>
      <c r="AI27">
        <f t="shared" ref="AI27:AI29" si="9">AI26</f>
        <v>4</v>
      </c>
      <c r="AK27">
        <f t="shared" si="7"/>
        <v>55</v>
      </c>
      <c r="AO27">
        <f t="shared" si="8"/>
        <v>5</v>
      </c>
      <c r="AZ27" s="24">
        <f t="shared" ref="AZ27:AZ29" si="10">AZ26+1</f>
        <v>11</v>
      </c>
      <c r="BD27">
        <v>3</v>
      </c>
    </row>
    <row r="28" spans="1:59">
      <c r="A28" s="43" t="s">
        <v>515</v>
      </c>
      <c r="B28" s="43">
        <v>1960</v>
      </c>
      <c r="C28" s="43" t="s">
        <v>485</v>
      </c>
      <c r="D28" s="43">
        <v>60</v>
      </c>
      <c r="E28" s="43">
        <v>7</v>
      </c>
      <c r="F28" s="43">
        <v>10</v>
      </c>
      <c r="G28" s="43">
        <v>14</v>
      </c>
      <c r="H28" s="43">
        <v>36</v>
      </c>
      <c r="I28" s="43">
        <v>44</v>
      </c>
      <c r="J28" s="43">
        <v>20</v>
      </c>
      <c r="K28" s="43">
        <v>14</v>
      </c>
      <c r="M28" s="43" t="s">
        <v>513</v>
      </c>
      <c r="N28" s="43">
        <v>17</v>
      </c>
      <c r="S28" s="71"/>
      <c r="T28" s="71"/>
      <c r="U28">
        <v>1950</v>
      </c>
      <c r="V28" t="s">
        <v>337</v>
      </c>
      <c r="W28" t="s">
        <v>337</v>
      </c>
      <c r="X28" t="s">
        <v>337</v>
      </c>
      <c r="Y28" t="s">
        <v>338</v>
      </c>
      <c r="Z28" t="s">
        <v>339</v>
      </c>
      <c r="AA28" s="27">
        <f>AA27+5%</f>
        <v>1.35</v>
      </c>
      <c r="AB28" s="27">
        <f>AB27</f>
        <v>0.85</v>
      </c>
      <c r="AG28" s="34">
        <f>AG27</f>
        <v>35</v>
      </c>
      <c r="AI28">
        <f t="shared" si="9"/>
        <v>4</v>
      </c>
      <c r="AK28">
        <f t="shared" si="7"/>
        <v>60</v>
      </c>
      <c r="AO28">
        <f t="shared" si="8"/>
        <v>5.5</v>
      </c>
      <c r="AZ28" s="24">
        <f t="shared" si="10"/>
        <v>12</v>
      </c>
      <c r="BD28">
        <v>4</v>
      </c>
    </row>
    <row r="29" spans="1:59">
      <c r="A29" s="43" t="s">
        <v>516</v>
      </c>
      <c r="B29" s="43">
        <v>1965</v>
      </c>
      <c r="C29" s="43" t="s">
        <v>485</v>
      </c>
      <c r="D29" s="43">
        <v>60</v>
      </c>
      <c r="E29" s="43">
        <v>8</v>
      </c>
      <c r="F29" s="43">
        <v>12</v>
      </c>
      <c r="G29" s="43">
        <v>16</v>
      </c>
      <c r="H29" s="43">
        <v>40</v>
      </c>
      <c r="I29" s="43">
        <v>48</v>
      </c>
      <c r="J29" s="43">
        <v>24</v>
      </c>
      <c r="K29" s="43">
        <v>14</v>
      </c>
      <c r="M29" s="43" t="s">
        <v>513</v>
      </c>
      <c r="N29" s="43">
        <v>19</v>
      </c>
      <c r="S29" s="71"/>
      <c r="T29" s="71"/>
      <c r="U29">
        <v>1955</v>
      </c>
      <c r="V29" t="s">
        <v>340</v>
      </c>
      <c r="W29" t="s">
        <v>340</v>
      </c>
      <c r="X29" t="s">
        <v>340</v>
      </c>
      <c r="Y29" t="s">
        <v>341</v>
      </c>
      <c r="Z29" t="s">
        <v>342</v>
      </c>
      <c r="AA29" s="27">
        <f>AA28+5%</f>
        <v>1.4000000000000001</v>
      </c>
      <c r="AB29" s="27">
        <f>AB28</f>
        <v>0.85</v>
      </c>
      <c r="AG29" s="34">
        <f>AG28</f>
        <v>35</v>
      </c>
      <c r="AI29">
        <f t="shared" si="9"/>
        <v>4</v>
      </c>
      <c r="AK29">
        <f t="shared" si="7"/>
        <v>65</v>
      </c>
      <c r="AO29">
        <f t="shared" si="8"/>
        <v>6</v>
      </c>
      <c r="AZ29" s="24">
        <f t="shared" si="10"/>
        <v>13</v>
      </c>
      <c r="BD29">
        <v>4</v>
      </c>
    </row>
    <row r="30" spans="1:59">
      <c r="A30" s="43" t="s">
        <v>517</v>
      </c>
      <c r="B30" s="43">
        <v>1975</v>
      </c>
      <c r="C30" s="43" t="s">
        <v>485</v>
      </c>
      <c r="D30" s="43">
        <v>60</v>
      </c>
      <c r="E30" s="43">
        <v>8</v>
      </c>
      <c r="F30" s="43">
        <v>12</v>
      </c>
      <c r="G30" s="43">
        <v>16</v>
      </c>
      <c r="H30" s="43">
        <v>40</v>
      </c>
      <c r="I30" s="43">
        <v>56</v>
      </c>
      <c r="J30" s="43">
        <v>26</v>
      </c>
      <c r="K30" s="43">
        <v>15</v>
      </c>
      <c r="M30" s="43" t="s">
        <v>513</v>
      </c>
      <c r="N30" s="43">
        <v>21</v>
      </c>
    </row>
    <row r="31" spans="1:59">
      <c r="A31" s="43" t="s">
        <v>518</v>
      </c>
      <c r="B31" s="43">
        <v>1985</v>
      </c>
      <c r="C31" s="43" t="s">
        <v>485</v>
      </c>
      <c r="D31" s="43">
        <v>60</v>
      </c>
      <c r="E31" s="43">
        <v>8</v>
      </c>
      <c r="F31" s="43">
        <v>12</v>
      </c>
      <c r="G31" s="43">
        <v>16</v>
      </c>
      <c r="H31" s="43">
        <v>41</v>
      </c>
      <c r="I31" s="43">
        <v>64</v>
      </c>
      <c r="J31" s="43">
        <v>30</v>
      </c>
      <c r="K31" s="43">
        <v>17</v>
      </c>
      <c r="M31" s="43" t="s">
        <v>513</v>
      </c>
      <c r="N31" s="43">
        <v>23</v>
      </c>
    </row>
    <row r="32" spans="1:59">
      <c r="A32" s="43" t="s">
        <v>519</v>
      </c>
      <c r="B32" s="43">
        <v>1995</v>
      </c>
      <c r="C32" s="43" t="s">
        <v>485</v>
      </c>
      <c r="D32" s="43">
        <v>60</v>
      </c>
      <c r="E32" s="43">
        <v>9</v>
      </c>
      <c r="F32" s="43">
        <v>14</v>
      </c>
      <c r="G32" s="43">
        <v>18</v>
      </c>
      <c r="H32" s="43">
        <v>45</v>
      </c>
      <c r="I32" s="43">
        <v>72</v>
      </c>
      <c r="J32" s="43">
        <v>32</v>
      </c>
      <c r="K32" s="43">
        <v>18</v>
      </c>
      <c r="M32" s="43" t="s">
        <v>513</v>
      </c>
      <c r="N32" s="43">
        <v>25</v>
      </c>
      <c r="S32" s="93" t="s">
        <v>471</v>
      </c>
      <c r="T32" s="93" t="s">
        <v>2</v>
      </c>
      <c r="U32" s="93" t="s">
        <v>3</v>
      </c>
      <c r="V32" s="93" t="s">
        <v>472</v>
      </c>
      <c r="W32" s="93" t="s">
        <v>473</v>
      </c>
      <c r="X32" s="93" t="s">
        <v>240</v>
      </c>
      <c r="Y32" s="93"/>
      <c r="Z32" s="93" t="s">
        <v>474</v>
      </c>
      <c r="AA32" s="94" t="s">
        <v>121</v>
      </c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5" t="s">
        <v>241</v>
      </c>
      <c r="BD32" s="95"/>
      <c r="BE32" s="95"/>
      <c r="BF32" s="95"/>
      <c r="BG32" s="95"/>
      <c r="BH32" s="94" t="inlineStr">
        <is>
          <t xml:space="preserve">Operation metadata</t>
        </is>
      </c>
    </row>
    <row r="33" spans="1:59">
      <c r="A33" s="43" t="s">
        <v>520</v>
      </c>
      <c r="B33" s="43">
        <v>2005</v>
      </c>
      <c r="C33" s="43" t="s">
        <v>485</v>
      </c>
      <c r="D33" s="43">
        <v>60</v>
      </c>
      <c r="E33" s="43">
        <v>9</v>
      </c>
      <c r="F33" s="43">
        <v>14</v>
      </c>
      <c r="G33" s="43">
        <v>18</v>
      </c>
      <c r="H33" s="43">
        <v>45</v>
      </c>
      <c r="I33" s="43">
        <v>80</v>
      </c>
      <c r="J33" s="43">
        <v>34</v>
      </c>
      <c r="K33" s="43">
        <v>19</v>
      </c>
      <c r="M33" s="43" t="s">
        <v>513</v>
      </c>
      <c r="N33" s="43">
        <v>28</v>
      </c>
      <c r="S33" s="93"/>
      <c r="T33" s="93"/>
      <c r="U33" s="93"/>
      <c r="V33" s="93"/>
      <c r="W33" s="93"/>
      <c r="X33" s="68" t="s">
        <v>477</v>
      </c>
      <c r="Y33" s="68" t="s">
        <v>243</v>
      </c>
      <c r="Z33" s="93"/>
      <c r="AA33" s="46" t="s">
        <v>244</v>
      </c>
      <c r="AB33" s="46" t="s">
        <v>245</v>
      </c>
      <c r="AC33" s="46" t="s">
        <v>124</v>
      </c>
      <c r="AD33" s="46" t="s">
        <v>246</v>
      </c>
      <c r="AE33" s="46" t="s">
        <v>125</v>
      </c>
      <c r="AF33" s="46" t="s">
        <v>247</v>
      </c>
      <c r="AG33" s="46" t="s">
        <v>248</v>
      </c>
      <c r="AH33" s="46" t="s">
        <v>249</v>
      </c>
      <c r="AI33" s="46" t="s">
        <v>250</v>
      </c>
      <c r="AJ33" s="46" t="s">
        <v>251</v>
      </c>
      <c r="AK33" s="46" t="s">
        <v>8</v>
      </c>
      <c r="AL33" s="46" t="s">
        <v>253</v>
      </c>
      <c r="AM33" s="46" t="s">
        <v>126</v>
      </c>
      <c r="AN33" s="46" t="s">
        <v>478</v>
      </c>
      <c r="AO33" s="46" t="s">
        <v>127</v>
      </c>
      <c r="AP33" s="46" t="s">
        <v>252</v>
      </c>
      <c r="AQ33" s="46" t="s">
        <v>112</v>
      </c>
      <c r="AR33" s="46" t="s">
        <v>343</v>
      </c>
      <c r="AS33" s="53" t="s">
        <v>479</v>
      </c>
      <c r="AT33" s="46" t="s">
        <v>254</v>
      </c>
      <c r="AU33" s="46" t="s">
        <v>255</v>
      </c>
      <c r="AV33" s="46" t="s">
        <v>256</v>
      </c>
      <c r="AW33" s="46" t="s">
        <v>257</v>
      </c>
      <c r="AX33" s="46" t="s">
        <v>480</v>
      </c>
      <c r="AY33" s="46" t="s">
        <v>481</v>
      </c>
      <c r="AZ33" s="47" t="s">
        <v>9</v>
      </c>
      <c r="BA33" s="46" t="s">
        <v>258</v>
      </c>
      <c r="BB33" s="46" t="s">
        <v>259</v>
      </c>
      <c r="BC33" s="46" t="s">
        <v>260</v>
      </c>
      <c r="BD33" s="46" t="s">
        <v>261</v>
      </c>
      <c r="BE33" s="46" t="s">
        <v>262</v>
      </c>
      <c r="BF33" s="46" t="s">
        <v>263</v>
      </c>
      <c r="BG33" s="46" t="s">
        <v>264</v>
      </c>
      <c r="BH33" s="46" t="inlineStr">
        <is>
          <t xml:space="preserve">Direct operation / provenance</t>
        </is>
      </c>
    </row>
    <row r="34" spans="1:59">
      <c r="A34" s="43" t="s">
        <v>521</v>
      </c>
      <c r="B34" s="43">
        <v>1947</v>
      </c>
      <c r="C34" s="43" t="s">
        <v>485</v>
      </c>
      <c r="D34" s="43">
        <v>50</v>
      </c>
      <c r="E34" s="43">
        <v>0</v>
      </c>
      <c r="F34" s="43">
        <v>0</v>
      </c>
      <c r="G34" s="43">
        <v>6</v>
      </c>
      <c r="H34" s="43">
        <v>15</v>
      </c>
      <c r="I34" s="43">
        <v>15</v>
      </c>
      <c r="J34" s="43">
        <v>0</v>
      </c>
      <c r="K34" s="43">
        <v>13</v>
      </c>
      <c r="M34" s="43" t="s">
        <v>503</v>
      </c>
      <c r="N34" s="43">
        <v>8</v>
      </c>
      <c r="S34" s="85" t="s">
        <v>522</v>
      </c>
      <c r="T34" s="85" t="s">
        <v>523</v>
      </c>
      <c r="U34" s="15">
        <v>1939</v>
      </c>
      <c r="V34" s="15" t="s">
        <v>524</v>
      </c>
      <c r="W34" s="15" t="s">
        <v>525</v>
      </c>
      <c r="X34" s="15" t="s">
        <v>524</v>
      </c>
      <c r="Y34" s="15" t="s">
        <v>524</v>
      </c>
      <c r="Z34" s="15" t="s">
        <v>526</v>
      </c>
      <c r="AG34" s="15">
        <v>2</v>
      </c>
      <c r="AI34" s="15">
        <v>2</v>
      </c>
      <c r="AL34" s="15"/>
      <c r="AZ34" s="25"/>
      <c r="BB34">
        <v>5</v>
      </c>
      <c r="BD34">
        <v>2</v>
      </c>
    </row>
    <row r="35" spans="1:59">
      <c r="A35" s="43" t="s">
        <v>527</v>
      </c>
      <c r="B35" s="43">
        <v>1950</v>
      </c>
      <c r="C35" s="43" t="s">
        <v>485</v>
      </c>
      <c r="D35" s="43">
        <v>50</v>
      </c>
      <c r="E35" s="43">
        <v>0</v>
      </c>
      <c r="F35" s="43">
        <v>0</v>
      </c>
      <c r="G35" s="43">
        <v>7</v>
      </c>
      <c r="H35" s="43">
        <v>18</v>
      </c>
      <c r="I35" s="43">
        <v>18</v>
      </c>
      <c r="J35" s="43">
        <v>0</v>
      </c>
      <c r="K35" s="43">
        <v>14</v>
      </c>
      <c r="M35" s="43" t="s">
        <v>503</v>
      </c>
      <c r="N35" s="43">
        <v>9</v>
      </c>
      <c r="S35" s="71"/>
      <c r="T35" s="71"/>
      <c r="U35">
        <v>1939</v>
      </c>
      <c r="V35" t="s">
        <v>528</v>
      </c>
      <c r="W35" t="s">
        <v>525</v>
      </c>
      <c r="X35" t="s">
        <v>528</v>
      </c>
      <c r="Y35" t="s">
        <v>528</v>
      </c>
      <c r="Z35" t="s">
        <v>529</v>
      </c>
      <c r="AB35" s="27">
        <v>0.02</v>
      </c>
      <c r="AG35">
        <f>AG34-0.25</f>
        <v>1.75</v>
      </c>
      <c r="AI35">
        <f>AI34-0.25</f>
        <v>1.75</v>
      </c>
      <c r="AL35" s="27">
        <f>AL34-10%</f>
        <v>-0.1</v>
      </c>
      <c r="AZ35" s="24">
        <f>AZ34-1.5</f>
        <v>-1.5</v>
      </c>
      <c r="BA35" s="27">
        <v>-0.1</v>
      </c>
      <c r="BB35">
        <f>BB34+1</f>
        <v>6</v>
      </c>
      <c r="BD35">
        <v>2</v>
      </c>
    </row>
    <row r="36" spans="1:59">
      <c r="A36" s="43" t="s">
        <v>530</v>
      </c>
      <c r="B36" s="43">
        <v>1960</v>
      </c>
      <c r="C36" s="43" t="s">
        <v>485</v>
      </c>
      <c r="D36" s="43">
        <v>50</v>
      </c>
      <c r="E36" s="43">
        <v>0</v>
      </c>
      <c r="F36" s="43">
        <v>0</v>
      </c>
      <c r="G36" s="43">
        <v>7</v>
      </c>
      <c r="H36" s="43">
        <v>18</v>
      </c>
      <c r="I36" s="43">
        <v>22</v>
      </c>
      <c r="J36" s="43">
        <v>0</v>
      </c>
      <c r="K36" s="43">
        <v>15</v>
      </c>
      <c r="M36" s="43" t="s">
        <v>503</v>
      </c>
      <c r="N36" s="43">
        <v>10</v>
      </c>
      <c r="S36" s="71"/>
      <c r="T36" s="71"/>
      <c r="U36">
        <v>1955</v>
      </c>
      <c r="V36" t="s">
        <v>531</v>
      </c>
      <c r="W36" t="s">
        <v>532</v>
      </c>
      <c r="X36" t="s">
        <v>531</v>
      </c>
      <c r="Y36" t="s">
        <v>531</v>
      </c>
      <c r="Z36" t="s">
        <v>533</v>
      </c>
      <c r="AG36">
        <f>AG34+0.25</f>
        <v>2.25</v>
      </c>
      <c r="AI36">
        <f>AI34+0.25</f>
        <v>2.25</v>
      </c>
      <c r="AL36" s="27">
        <f>AL34+25%</f>
        <v>0.25</v>
      </c>
      <c r="AO36">
        <v>0.2</v>
      </c>
      <c r="AZ36" s="24">
        <f>AZ34+1.5</f>
        <v>1.5</v>
      </c>
      <c r="BB36">
        <f>BB34+0.5</f>
        <v>5.5</v>
      </c>
      <c r="BD36">
        <v>2</v>
      </c>
    </row>
    <row r="37" spans="1:59">
      <c r="A37" s="43" t="s">
        <v>534</v>
      </c>
      <c r="B37" s="43">
        <v>1965</v>
      </c>
      <c r="C37" s="43" t="s">
        <v>485</v>
      </c>
      <c r="D37" s="43">
        <v>50</v>
      </c>
      <c r="E37" s="43">
        <v>0</v>
      </c>
      <c r="F37" s="43">
        <v>0</v>
      </c>
      <c r="G37" s="43">
        <v>8</v>
      </c>
      <c r="H37" s="43">
        <v>20</v>
      </c>
      <c r="I37" s="43">
        <v>24</v>
      </c>
      <c r="J37" s="43">
        <v>0</v>
      </c>
      <c r="K37" s="43">
        <v>16</v>
      </c>
      <c r="M37" s="43" t="s">
        <v>503</v>
      </c>
      <c r="N37" s="43">
        <v>11</v>
      </c>
      <c r="S37" s="71"/>
      <c r="T37" s="71"/>
      <c r="U37">
        <v>1955</v>
      </c>
      <c r="V37" t="s">
        <v>532</v>
      </c>
      <c r="W37" t="s">
        <v>532</v>
      </c>
      <c r="X37" t="s">
        <v>535</v>
      </c>
      <c r="Y37" t="s">
        <v>535</v>
      </c>
      <c r="Z37" t="s">
        <v>536</v>
      </c>
      <c r="AA37" s="27">
        <v>-0.05</v>
      </c>
      <c r="AG37">
        <f>AG34+0.5</f>
        <v>2.5</v>
      </c>
      <c r="AI37">
        <f>AI34+0.5</f>
        <v>2.5</v>
      </c>
      <c r="AL37" s="27">
        <f>AL34+50%</f>
        <v>0.5</v>
      </c>
      <c r="AO37">
        <v>-0.4</v>
      </c>
      <c r="AZ37" s="24">
        <f>AZ36+0.5</f>
        <v>2</v>
      </c>
      <c r="BB37">
        <f>BB36+1</f>
        <v>6.5</v>
      </c>
      <c r="BD37">
        <v>1</v>
      </c>
      <c r="BE37">
        <v>1</v>
      </c>
    </row>
    <row r="38" spans="1:59">
      <c r="A38" s="43" t="s">
        <v>537</v>
      </c>
      <c r="B38" s="43">
        <v>1975</v>
      </c>
      <c r="C38" s="43" t="s">
        <v>485</v>
      </c>
      <c r="D38" s="43">
        <v>50</v>
      </c>
      <c r="E38" s="43">
        <v>0</v>
      </c>
      <c r="F38" s="43">
        <v>0</v>
      </c>
      <c r="G38" s="43">
        <v>8</v>
      </c>
      <c r="H38" s="43">
        <v>20</v>
      </c>
      <c r="I38" s="43">
        <v>28</v>
      </c>
      <c r="J38" s="43">
        <v>0</v>
      </c>
      <c r="K38" s="43">
        <v>18</v>
      </c>
      <c r="M38" s="43" t="s">
        <v>503</v>
      </c>
      <c r="N38" s="43">
        <v>13</v>
      </c>
      <c r="S38" s="71"/>
      <c r="T38" s="71"/>
      <c r="U38">
        <v>1965</v>
      </c>
      <c r="V38" t="s">
        <v>538</v>
      </c>
      <c r="W38" t="s">
        <v>538</v>
      </c>
      <c r="X38" t="s">
        <v>539</v>
      </c>
      <c r="Y38" t="s">
        <v>539</v>
      </c>
      <c r="Z38" t="s">
        <v>540</v>
      </c>
      <c r="AG38">
        <f>AG37+0.5</f>
        <v>3</v>
      </c>
      <c r="AI38">
        <f>AI37+0.5</f>
        <v>3</v>
      </c>
      <c r="AL38" s="27">
        <f>AL34+75%</f>
        <v>0.75</v>
      </c>
      <c r="AO38">
        <f>AO37</f>
        <v>-0.4</v>
      </c>
      <c r="AZ38" s="24">
        <f>AZ37+0.5</f>
        <v>2.5</v>
      </c>
      <c r="BB38">
        <f>BB37-0.5</f>
        <v>6</v>
      </c>
      <c r="BD38">
        <v>1</v>
      </c>
      <c r="BE38">
        <v>1</v>
      </c>
    </row>
    <row r="39" spans="1:59">
      <c r="A39" s="43" t="s">
        <v>541</v>
      </c>
      <c r="B39" s="43">
        <v>1985</v>
      </c>
      <c r="C39" s="43" t="s">
        <v>485</v>
      </c>
      <c r="D39" s="43">
        <v>50</v>
      </c>
      <c r="E39" s="43">
        <v>0</v>
      </c>
      <c r="F39" s="43">
        <v>0</v>
      </c>
      <c r="G39" s="43">
        <v>8</v>
      </c>
      <c r="H39" s="43">
        <v>20</v>
      </c>
      <c r="I39" s="43">
        <v>32</v>
      </c>
      <c r="J39" s="43">
        <v>0</v>
      </c>
      <c r="K39" s="43">
        <v>19</v>
      </c>
      <c r="M39" s="43" t="s">
        <v>503</v>
      </c>
      <c r="N39" s="43">
        <v>14</v>
      </c>
      <c r="S39" s="71"/>
      <c r="T39" s="71"/>
      <c r="U39">
        <v>1975</v>
      </c>
      <c r="V39" t="s">
        <v>542</v>
      </c>
      <c r="W39" t="s">
        <v>542</v>
      </c>
      <c r="X39" t="s">
        <v>542</v>
      </c>
      <c r="Y39" t="s">
        <v>543</v>
      </c>
      <c r="Z39" t="s">
        <v>544</v>
      </c>
      <c r="AG39">
        <f>AG38+0.5</f>
        <v>3.5</v>
      </c>
      <c r="AI39">
        <f>AI38+0.5</f>
        <v>3.5</v>
      </c>
      <c r="AL39" s="27">
        <f>AL34+100%</f>
        <v>1</v>
      </c>
      <c r="AO39">
        <f>AO38-0.2</f>
        <v>-0.60000000000000009</v>
      </c>
      <c r="AZ39" s="24">
        <f>AZ38+0.5</f>
        <v>3</v>
      </c>
      <c r="BB39">
        <f>BB38-0.5</f>
        <v>5.5</v>
      </c>
      <c r="BD39">
        <v>2</v>
      </c>
      <c r="BE39">
        <v>1</v>
      </c>
    </row>
    <row r="40" spans="1:59">
      <c r="A40" s="43" t="s">
        <v>545</v>
      </c>
      <c r="B40" s="43">
        <v>1995</v>
      </c>
      <c r="C40" s="43" t="s">
        <v>485</v>
      </c>
      <c r="D40" s="43">
        <v>50</v>
      </c>
      <c r="E40" s="43">
        <v>0</v>
      </c>
      <c r="F40" s="43">
        <v>0</v>
      </c>
      <c r="G40" s="43">
        <v>9</v>
      </c>
      <c r="H40" s="43">
        <v>23</v>
      </c>
      <c r="I40" s="43">
        <v>36</v>
      </c>
      <c r="J40" s="43">
        <v>0</v>
      </c>
      <c r="K40" s="43">
        <v>20</v>
      </c>
      <c r="M40" s="43" t="s">
        <v>503</v>
      </c>
      <c r="N40" s="43">
        <v>15</v>
      </c>
      <c r="S40" s="71"/>
      <c r="T40" s="71"/>
      <c r="U40">
        <v>1985</v>
      </c>
      <c r="V40" t="s">
        <v>546</v>
      </c>
      <c r="W40" t="s">
        <v>546</v>
      </c>
      <c r="X40" t="s">
        <v>546</v>
      </c>
      <c r="Y40" t="s">
        <v>547</v>
      </c>
      <c r="Z40" t="s">
        <v>548</v>
      </c>
      <c r="AG40">
        <f>AG39+0.5</f>
        <v>4</v>
      </c>
      <c r="AI40">
        <f>AI39+0.5</f>
        <v>4</v>
      </c>
      <c r="AL40" s="27">
        <f>AL39+25%</f>
        <v>1.25</v>
      </c>
      <c r="AO40">
        <f>AO39-0.2</f>
        <v>-0.8</v>
      </c>
      <c r="AZ40" s="24">
        <f>AZ39+0.5</f>
        <v>3.5</v>
      </c>
      <c r="BB40">
        <f>BB39-0.5</f>
        <v>5</v>
      </c>
      <c r="BD40">
        <v>3</v>
      </c>
      <c r="BE40">
        <v>1</v>
      </c>
    </row>
    <row r="41" spans="1:59">
      <c r="A41" s="43" t="s">
        <v>549</v>
      </c>
      <c r="B41" s="43">
        <v>2005</v>
      </c>
      <c r="C41" s="43" t="s">
        <v>485</v>
      </c>
      <c r="D41" s="43">
        <v>50</v>
      </c>
      <c r="E41" s="43">
        <v>0</v>
      </c>
      <c r="F41" s="43">
        <v>0</v>
      </c>
      <c r="G41" s="43">
        <v>9</v>
      </c>
      <c r="H41" s="43">
        <v>23</v>
      </c>
      <c r="I41" s="43">
        <v>40</v>
      </c>
      <c r="J41" s="43">
        <v>0</v>
      </c>
      <c r="K41" s="43">
        <v>22</v>
      </c>
      <c r="M41" s="43" t="s">
        <v>503</v>
      </c>
      <c r="N41" s="43">
        <v>17</v>
      </c>
      <c r="S41" s="71"/>
      <c r="T41" s="71"/>
      <c r="U41">
        <v>1995</v>
      </c>
      <c r="V41" t="s">
        <v>550</v>
      </c>
      <c r="W41" t="s">
        <v>550</v>
      </c>
      <c r="X41" t="s">
        <v>550</v>
      </c>
      <c r="Y41" t="s">
        <v>551</v>
      </c>
      <c r="Z41" t="s">
        <v>552</v>
      </c>
      <c r="AG41">
        <f>AG40+0.5</f>
        <v>4.5</v>
      </c>
      <c r="AI41">
        <f>AI40+0.5</f>
        <v>4.5</v>
      </c>
      <c r="AL41" s="27">
        <f>AL40+25%</f>
        <v>1.5</v>
      </c>
      <c r="AO41">
        <f>AO40-0.2</f>
        <v>-1</v>
      </c>
      <c r="AZ41" s="24">
        <f>AZ40+0.5</f>
        <v>4</v>
      </c>
      <c r="BB41">
        <f>BB40-0.5</f>
        <v>4.5</v>
      </c>
      <c r="BD41">
        <v>3</v>
      </c>
      <c r="BE41">
        <v>1</v>
      </c>
    </row>
    <row r="42" spans="1:59">
      <c r="S42" s="71"/>
      <c r="T42" s="71"/>
      <c r="U42">
        <v>2010</v>
      </c>
      <c r="V42" t="s">
        <v>553</v>
      </c>
      <c r="W42" t="s">
        <v>553</v>
      </c>
      <c r="X42" t="s">
        <v>553</v>
      </c>
      <c r="Y42" t="s">
        <v>554</v>
      </c>
      <c r="Z42" t="s">
        <v>555</v>
      </c>
      <c r="AG42">
        <f>AG41+0.5</f>
        <v>5</v>
      </c>
      <c r="AI42">
        <f>AI41+0.5</f>
        <v>5</v>
      </c>
      <c r="AL42" s="27">
        <f>AL41+25%</f>
        <v>1.75</v>
      </c>
      <c r="AO42">
        <f>AO41-0.2</f>
        <v>-1.2</v>
      </c>
      <c r="AZ42" s="24">
        <f>AZ41+0.5</f>
        <v>4.5</v>
      </c>
      <c r="BB42">
        <f>BB41-0.5</f>
        <v>4</v>
      </c>
      <c r="BD42">
        <v>3</v>
      </c>
      <c r="BE42">
        <v>1</v>
      </c>
    </row>
    <row r="43" spans="1:59">
      <c r="S43" s="71"/>
      <c r="T43" s="71"/>
      <c r="U43">
        <v>1985</v>
      </c>
      <c r="V43" t="s">
        <v>556</v>
      </c>
      <c r="W43" t="s">
        <v>556</v>
      </c>
      <c r="X43" t="s">
        <v>556</v>
      </c>
      <c r="Y43" t="s">
        <v>557</v>
      </c>
      <c r="Z43" t="s">
        <v>558</v>
      </c>
      <c r="AG43">
        <f>AG38+0.75</f>
        <v>3.75</v>
      </c>
      <c r="AI43">
        <f>AI38+0.75</f>
        <v>3.75</v>
      </c>
      <c r="AL43" s="27">
        <f>AL34+135%</f>
        <v>1.35</v>
      </c>
      <c r="AO43">
        <f>AO39-0.3</f>
        <v>-0.90000000000000013</v>
      </c>
      <c r="AZ43" s="24">
        <f>AZ39+0.75</f>
        <v>3.75</v>
      </c>
      <c r="BB43">
        <f>BB39</f>
        <v>5.5</v>
      </c>
      <c r="BD43">
        <v>3</v>
      </c>
      <c r="BE43">
        <v>1</v>
      </c>
    </row>
    <row r="44" spans="1:59">
      <c r="S44" s="71"/>
      <c r="T44" s="71"/>
      <c r="U44">
        <v>1995</v>
      </c>
      <c r="V44" t="s">
        <v>559</v>
      </c>
      <c r="W44" t="s">
        <v>559</v>
      </c>
      <c r="X44" t="s">
        <v>559</v>
      </c>
      <c r="Y44" t="s">
        <v>560</v>
      </c>
      <c r="Z44" t="s">
        <v>561</v>
      </c>
      <c r="AG44">
        <f>AG43+0.75</f>
        <v>4.5</v>
      </c>
      <c r="AI44">
        <f>AI43+0.75</f>
        <v>4.5</v>
      </c>
      <c r="AL44" s="27">
        <f>AL43+25%</f>
        <v>1.6</v>
      </c>
      <c r="AO44">
        <f>AO43-0.3</f>
        <v>-1.2000000000000002</v>
      </c>
      <c r="AZ44" s="24">
        <f>AZ43+0.75</f>
        <v>4.5</v>
      </c>
      <c r="BB44">
        <f>BB40</f>
        <v>5</v>
      </c>
      <c r="BD44">
        <v>3</v>
      </c>
      <c r="BE44">
        <v>1</v>
      </c>
    </row>
    <row r="45" spans="1:59">
      <c r="S45" s="71"/>
      <c r="T45" s="71"/>
      <c r="U45">
        <v>2010</v>
      </c>
      <c r="V45" t="s">
        <v>562</v>
      </c>
      <c r="W45" t="s">
        <v>562</v>
      </c>
      <c r="X45" t="s">
        <v>562</v>
      </c>
      <c r="Y45" t="s">
        <v>563</v>
      </c>
      <c r="Z45" t="s">
        <v>564</v>
      </c>
      <c r="AG45">
        <f>AG44+0.75</f>
        <v>5.25</v>
      </c>
      <c r="AI45">
        <f>AI44+0.75</f>
        <v>5.25</v>
      </c>
      <c r="AL45" s="27">
        <f>AL44+25%</f>
        <v>1.85</v>
      </c>
      <c r="AO45">
        <f>AO44-0.3</f>
        <v>-1.5000000000000002</v>
      </c>
      <c r="AZ45" s="24">
        <f>AZ44+0.75</f>
        <v>5.25</v>
      </c>
      <c r="BB45">
        <f>BB41</f>
        <v>4.5</v>
      </c>
      <c r="BD45">
        <v>3</v>
      </c>
      <c r="BE45">
        <v>1</v>
      </c>
    </row>
    <row r="46" spans="1:59">
      <c r="S46" s="71"/>
      <c r="T46" s="71"/>
      <c r="U46">
        <v>1955</v>
      </c>
      <c r="V46" t="s">
        <v>565</v>
      </c>
      <c r="W46" t="s">
        <v>565</v>
      </c>
      <c r="X46" t="s">
        <v>565</v>
      </c>
      <c r="Y46" t="s">
        <v>566</v>
      </c>
      <c r="Z46" t="s">
        <v>567</v>
      </c>
      <c r="AA46" s="27">
        <v>0.1</v>
      </c>
      <c r="AB46" s="38">
        <v>2.5000000000000001E-2</v>
      </c>
      <c r="AG46">
        <f>AG34-0.5</f>
        <v>1.5</v>
      </c>
      <c r="AI46">
        <f>AI34-0.5</f>
        <v>1.5</v>
      </c>
      <c r="AL46" s="27">
        <f>AL34-15%</f>
        <v>-0.15</v>
      </c>
      <c r="AO46">
        <v>2</v>
      </c>
      <c r="AZ46" s="24">
        <f>AZ34+1</f>
        <v>1</v>
      </c>
      <c r="BB46">
        <f>BB34-3</f>
        <v>2</v>
      </c>
      <c r="BE46">
        <v>2</v>
      </c>
    </row>
    <row r="47" spans="1:59">
      <c r="S47" s="71"/>
      <c r="T47" s="71"/>
      <c r="U47">
        <v>1965</v>
      </c>
      <c r="V47" t="s">
        <v>568</v>
      </c>
      <c r="W47" t="s">
        <v>568</v>
      </c>
      <c r="X47" t="s">
        <v>568</v>
      </c>
      <c r="Y47" t="s">
        <v>569</v>
      </c>
      <c r="Z47" t="s">
        <v>570</v>
      </c>
      <c r="AA47" s="27">
        <v>0.1</v>
      </c>
      <c r="AB47" s="37">
        <f>AB46+2.5%</f>
        <v>0.05</v>
      </c>
      <c r="AG47">
        <f>AG46+0.25</f>
        <v>1.75</v>
      </c>
      <c r="AI47">
        <f>AI46+0.25</f>
        <v>1.75</v>
      </c>
      <c r="AL47" s="27">
        <f>AL46+5%</f>
        <v>-9.9999999999999992E-2</v>
      </c>
      <c r="AO47">
        <v>1.5</v>
      </c>
      <c r="AZ47" s="24">
        <f>AZ46+0.5</f>
        <v>1.5</v>
      </c>
      <c r="BB47">
        <f>BB46+0.5</f>
        <v>2.5</v>
      </c>
      <c r="BE47">
        <v>2</v>
      </c>
    </row>
    <row r="48" spans="1:59">
      <c r="C48" t="s">
        <v>245</v>
      </c>
      <c r="D48" t="s">
        <v>8</v>
      </c>
      <c r="S48" s="71"/>
    </row>
    <row r="49" spans="2:57">
      <c r="B49" t="s">
        <v>65</v>
      </c>
      <c r="C49" s="27">
        <v>-0.4</v>
      </c>
      <c r="D49" s="27">
        <v>-0.4</v>
      </c>
      <c r="E49" s="27">
        <v>-0.2</v>
      </c>
      <c r="F49" s="27">
        <v>-0.2</v>
      </c>
      <c r="S49" s="71"/>
      <c r="T49" s="96" t="s">
        <v>571</v>
      </c>
      <c r="U49" s="15">
        <v>1965</v>
      </c>
      <c r="V49" s="15" t="s">
        <v>572</v>
      </c>
      <c r="W49" t="s">
        <v>538</v>
      </c>
      <c r="Y49" s="15" t="s">
        <v>572</v>
      </c>
      <c r="Z49" s="15" t="s">
        <v>573</v>
      </c>
      <c r="AG49" s="15">
        <v>1</v>
      </c>
      <c r="AI49" s="15">
        <v>1</v>
      </c>
      <c r="AL49" s="26">
        <v>0.2</v>
      </c>
      <c r="AO49" s="15">
        <v>-0.2</v>
      </c>
      <c r="AZ49" s="25">
        <v>1.5</v>
      </c>
      <c r="BB49" s="15">
        <v>0.1</v>
      </c>
      <c r="BD49">
        <v>1</v>
      </c>
    </row>
    <row r="50" spans="2:57">
      <c r="B50" t="s">
        <v>68</v>
      </c>
      <c r="C50" s="27">
        <v>-0.2</v>
      </c>
      <c r="D50" s="27">
        <v>-0.2</v>
      </c>
      <c r="E50" s="27">
        <v>-0.1</v>
      </c>
      <c r="F50" s="27">
        <v>-0.1</v>
      </c>
      <c r="S50" s="71"/>
      <c r="T50" s="96"/>
      <c r="U50">
        <v>1975</v>
      </c>
      <c r="V50" t="s">
        <v>574</v>
      </c>
      <c r="W50" t="s">
        <v>542</v>
      </c>
      <c r="Y50" t="s">
        <v>575</v>
      </c>
      <c r="Z50" t="s">
        <v>576</v>
      </c>
      <c r="AG50">
        <f t="shared" ref="AG50:AG53" si="11">AG49+0.5</f>
        <v>1.5</v>
      </c>
      <c r="AI50">
        <f t="shared" ref="AI50:AI53" si="12">AI49+0.5</f>
        <v>1.5</v>
      </c>
      <c r="AL50" s="27">
        <f>AL49+10%</f>
        <v>0.30000000000000004</v>
      </c>
      <c r="AO50">
        <f>AO49-0.1</f>
        <v>-0.30000000000000004</v>
      </c>
      <c r="AZ50" s="24">
        <f>AZ49+0.25</f>
        <v>1.75</v>
      </c>
      <c r="BB50">
        <f>BB49</f>
        <v>0.1</v>
      </c>
      <c r="BD50">
        <v>1</v>
      </c>
    </row>
    <row r="51" spans="2:57">
      <c r="B51" t="s">
        <v>83</v>
      </c>
      <c r="C51" s="27">
        <v>-0.4</v>
      </c>
      <c r="D51" s="27">
        <v>-0.4</v>
      </c>
      <c r="S51" s="71"/>
      <c r="T51" s="96"/>
      <c r="U51">
        <v>1985</v>
      </c>
      <c r="V51" t="s">
        <v>577</v>
      </c>
      <c r="W51" t="s">
        <v>546</v>
      </c>
      <c r="Y51" t="s">
        <v>578</v>
      </c>
      <c r="Z51" t="s">
        <v>579</v>
      </c>
      <c r="AG51">
        <f t="shared" si="11"/>
        <v>2</v>
      </c>
      <c r="AI51">
        <f t="shared" si="12"/>
        <v>2</v>
      </c>
      <c r="AL51" s="27">
        <f>AL50+10%</f>
        <v>0.4</v>
      </c>
      <c r="AO51">
        <f>AO50-0.1</f>
        <v>-0.4</v>
      </c>
      <c r="AZ51" s="24">
        <f>AZ50+0.25</f>
        <v>2</v>
      </c>
      <c r="BB51">
        <f>BB50</f>
        <v>0.1</v>
      </c>
      <c r="BD51">
        <v>1</v>
      </c>
    </row>
    <row r="52" spans="2:57">
      <c r="S52" s="71"/>
      <c r="T52" s="96"/>
      <c r="U52">
        <v>1995</v>
      </c>
      <c r="V52" t="s">
        <v>580</v>
      </c>
      <c r="W52" t="s">
        <v>550</v>
      </c>
      <c r="Y52" t="s">
        <v>581</v>
      </c>
      <c r="Z52" t="s">
        <v>582</v>
      </c>
      <c r="AG52">
        <f t="shared" si="11"/>
        <v>2.5</v>
      </c>
      <c r="AI52">
        <f t="shared" si="12"/>
        <v>2.5</v>
      </c>
      <c r="AL52" s="27">
        <f>AL51+10%</f>
        <v>0.5</v>
      </c>
      <c r="AO52">
        <f>AO51-0.1</f>
        <v>-0.5</v>
      </c>
      <c r="AZ52" s="24">
        <f>AZ51+0.25</f>
        <v>2.25</v>
      </c>
      <c r="BB52">
        <f>BB51</f>
        <v>0.1</v>
      </c>
      <c r="BD52">
        <v>1</v>
      </c>
    </row>
    <row r="53" spans="2:57">
      <c r="S53" s="71"/>
      <c r="T53" s="96"/>
      <c r="U53">
        <v>2010</v>
      </c>
      <c r="V53" t="s">
        <v>583</v>
      </c>
      <c r="W53" t="s">
        <v>553</v>
      </c>
      <c r="Y53" t="s">
        <v>584</v>
      </c>
      <c r="Z53" t="s">
        <v>585</v>
      </c>
      <c r="AG53">
        <f t="shared" si="11"/>
        <v>3</v>
      </c>
      <c r="AI53">
        <f t="shared" si="12"/>
        <v>3</v>
      </c>
      <c r="AL53" s="27">
        <f>AL52+10%</f>
        <v>0.6</v>
      </c>
      <c r="AO53">
        <f>AO52-0.1</f>
        <v>-0.6</v>
      </c>
      <c r="AZ53" s="24">
        <f>AZ52+0.25</f>
        <v>2.5</v>
      </c>
      <c r="BB53">
        <f>BB52</f>
        <v>0.1</v>
      </c>
      <c r="BD53">
        <v>1</v>
      </c>
    </row>
    <row r="54" spans="2:57">
      <c r="S54" s="71"/>
      <c r="T54" s="96"/>
      <c r="U54" s="15">
        <v>1995</v>
      </c>
      <c r="V54" s="15" t="s">
        <v>586</v>
      </c>
      <c r="W54" s="15" t="s">
        <v>586</v>
      </c>
      <c r="Y54" s="15" t="s">
        <v>587</v>
      </c>
      <c r="Z54" s="15" t="s">
        <v>588</v>
      </c>
      <c r="AB54" s="26">
        <v>0.05</v>
      </c>
      <c r="AG54" s="15">
        <v>0.5</v>
      </c>
      <c r="AI54" s="15">
        <v>0.5</v>
      </c>
      <c r="AK54">
        <v>20</v>
      </c>
      <c r="AL54" s="26">
        <v>0.25</v>
      </c>
      <c r="AO54" s="15">
        <v>-0.2</v>
      </c>
      <c r="AZ54" s="25">
        <v>1.25</v>
      </c>
      <c r="BB54" s="15">
        <v>0.1</v>
      </c>
      <c r="BE54">
        <v>1</v>
      </c>
    </row>
    <row r="55" spans="2:57">
      <c r="S55" s="71"/>
      <c r="T55" s="96"/>
      <c r="U55">
        <v>2005</v>
      </c>
      <c r="V55" t="s">
        <v>589</v>
      </c>
      <c r="W55" t="s">
        <v>589</v>
      </c>
      <c r="Y55" t="s">
        <v>590</v>
      </c>
      <c r="Z55" t="s">
        <v>591</v>
      </c>
      <c r="AB55" s="28">
        <f>AB54+2.5%</f>
        <v>7.5000000000000011E-2</v>
      </c>
      <c r="AG55">
        <f>AG54+0.5</f>
        <v>1</v>
      </c>
      <c r="AI55">
        <f>AI54+0.5</f>
        <v>1</v>
      </c>
      <c r="AK55">
        <v>30</v>
      </c>
      <c r="AL55" s="27">
        <f>AL54+5%</f>
        <v>0.3</v>
      </c>
      <c r="AO55">
        <f>AO54-0.05</f>
        <v>-0.25</v>
      </c>
      <c r="AZ55" s="24">
        <f>AZ54+0.5</f>
        <v>1.75</v>
      </c>
      <c r="BB55">
        <f>BB54</f>
        <v>0.1</v>
      </c>
      <c r="BE55">
        <v>1</v>
      </c>
    </row>
    <row r="56" spans="2:57">
      <c r="S56" s="71"/>
    </row>
    <row r="57" spans="2:57">
      <c r="S57" s="71"/>
      <c r="T57" s="71" t="s">
        <v>592</v>
      </c>
      <c r="U57" s="15">
        <v>1975</v>
      </c>
      <c r="V57" s="15" t="s">
        <v>593</v>
      </c>
      <c r="W57" s="15" t="s">
        <v>593</v>
      </c>
      <c r="Y57" s="15" t="s">
        <v>594</v>
      </c>
      <c r="Z57" s="15" t="s">
        <v>595</v>
      </c>
      <c r="AG57" s="15">
        <v>3</v>
      </c>
      <c r="AH57" s="15"/>
      <c r="AI57" s="15">
        <v>1.5</v>
      </c>
      <c r="AL57" s="26">
        <v>0.05</v>
      </c>
      <c r="AO57" s="15">
        <v>-0.1</v>
      </c>
      <c r="AZ57" s="25">
        <v>1</v>
      </c>
      <c r="BA57" s="15"/>
      <c r="BB57" s="15">
        <v>0.05</v>
      </c>
    </row>
    <row r="58" spans="2:57">
      <c r="S58" s="71"/>
      <c r="T58" s="71"/>
      <c r="U58">
        <v>1985</v>
      </c>
      <c r="V58" t="s">
        <v>596</v>
      </c>
      <c r="W58" t="s">
        <v>596</v>
      </c>
      <c r="Y58" t="s">
        <v>597</v>
      </c>
      <c r="Z58" t="s">
        <v>598</v>
      </c>
      <c r="AG58">
        <f>AG57+3</f>
        <v>6</v>
      </c>
      <c r="AI58">
        <f>AI57+1.5</f>
        <v>3</v>
      </c>
      <c r="AL58" s="27">
        <f>AL57+10%</f>
        <v>0.15000000000000002</v>
      </c>
      <c r="AO58">
        <f>AO57-0.1</f>
        <v>-0.2</v>
      </c>
      <c r="AZ58" s="24">
        <f>AZ57+0.75</f>
        <v>1.75</v>
      </c>
      <c r="BB58">
        <f>BB57</f>
        <v>0.05</v>
      </c>
    </row>
    <row r="59" spans="2:57">
      <c r="S59" s="71"/>
      <c r="T59" s="71"/>
      <c r="U59">
        <v>1985</v>
      </c>
      <c r="V59" t="s">
        <v>599</v>
      </c>
      <c r="W59" t="s">
        <v>596</v>
      </c>
      <c r="Y59" t="s">
        <v>600</v>
      </c>
      <c r="Z59" t="s">
        <v>601</v>
      </c>
      <c r="AG59">
        <f>AG58+1</f>
        <v>7</v>
      </c>
      <c r="AI59">
        <f>AI58+0.5</f>
        <v>3.5</v>
      </c>
      <c r="AL59" s="27">
        <f>AL58+5%</f>
        <v>0.2</v>
      </c>
      <c r="AO59">
        <f>AO57-0.3</f>
        <v>-0.4</v>
      </c>
      <c r="AZ59" s="24">
        <f>AZ58-0.25</f>
        <v>1.5</v>
      </c>
      <c r="BB59">
        <f>BB58</f>
        <v>0.05</v>
      </c>
    </row>
    <row r="60" spans="2:57">
      <c r="S60" s="71"/>
      <c r="T60" s="71"/>
      <c r="U60">
        <v>2005</v>
      </c>
      <c r="V60" t="s">
        <v>602</v>
      </c>
      <c r="W60" t="s">
        <v>602</v>
      </c>
      <c r="Y60" t="s">
        <v>603</v>
      </c>
      <c r="Z60" t="s">
        <v>604</v>
      </c>
      <c r="AG60">
        <f>AG58+3</f>
        <v>9</v>
      </c>
      <c r="AI60">
        <f>AI58+1.5</f>
        <v>4.5</v>
      </c>
      <c r="AL60" s="27">
        <f>AL58+10%</f>
        <v>0.25</v>
      </c>
      <c r="AO60">
        <f>AO58-0.1</f>
        <v>-0.30000000000000004</v>
      </c>
      <c r="AZ60" s="24">
        <f>AZ58+0.75</f>
        <v>2.5</v>
      </c>
      <c r="BB60">
        <f>BB59</f>
        <v>0.05</v>
      </c>
    </row>
    <row r="61" spans="2:57">
      <c r="S61" s="71"/>
      <c r="T61" s="71"/>
      <c r="U61">
        <v>2015</v>
      </c>
      <c r="V61" t="s">
        <v>605</v>
      </c>
      <c r="W61" t="s">
        <v>605</v>
      </c>
      <c r="Y61" t="s">
        <v>606</v>
      </c>
      <c r="Z61" t="s">
        <v>607</v>
      </c>
      <c r="AG61">
        <f>AG60+3</f>
        <v>12</v>
      </c>
      <c r="AI61">
        <f>AI60+1.5</f>
        <v>6</v>
      </c>
      <c r="AL61" s="27">
        <f>AL60+10%</f>
        <v>0.35</v>
      </c>
      <c r="AO61">
        <f>AO60-0.1</f>
        <v>-0.4</v>
      </c>
      <c r="AZ61" s="24">
        <f>AZ60+0.75</f>
        <v>3.25</v>
      </c>
      <c r="BB61">
        <f>BB60</f>
        <v>0.05</v>
      </c>
    </row>
    <row r="62" spans="2:57">
      <c r="S62" s="71"/>
    </row>
    <row r="63" spans="2:57">
      <c r="S63" s="71"/>
      <c r="T63" s="71" t="s">
        <v>608</v>
      </c>
      <c r="U63" s="15">
        <v>1939</v>
      </c>
      <c r="V63" s="15" t="s">
        <v>609</v>
      </c>
      <c r="W63" s="15" t="s">
        <v>609</v>
      </c>
      <c r="Y63" s="15" t="s">
        <v>610</v>
      </c>
      <c r="Z63" s="15" t="s">
        <v>611</v>
      </c>
      <c r="AG63" s="15">
        <v>1.5</v>
      </c>
      <c r="AI63" s="15">
        <v>2.5</v>
      </c>
      <c r="AZ63" s="25">
        <v>0.5</v>
      </c>
      <c r="BA63" s="15"/>
      <c r="BB63" s="15">
        <v>0.05</v>
      </c>
    </row>
    <row r="64" spans="2:57">
      <c r="S64" s="71"/>
      <c r="T64" s="71"/>
      <c r="U64">
        <v>1944</v>
      </c>
      <c r="V64" t="s">
        <v>612</v>
      </c>
      <c r="W64" t="s">
        <v>612</v>
      </c>
      <c r="Y64" t="s">
        <v>613</v>
      </c>
      <c r="Z64" t="s">
        <v>614</v>
      </c>
      <c r="AG64">
        <f>AG63+3.5</f>
        <v>5</v>
      </c>
      <c r="AV64">
        <v>0.25</v>
      </c>
      <c r="AZ64" s="24">
        <f>AZ63+0.5</f>
        <v>1</v>
      </c>
      <c r="BB64">
        <f>BB63+0.15</f>
        <v>0.2</v>
      </c>
    </row>
    <row r="65" spans="19:58">
      <c r="S65" s="71"/>
      <c r="T65" s="71"/>
      <c r="U65">
        <v>1975</v>
      </c>
      <c r="V65" t="s">
        <v>615</v>
      </c>
      <c r="W65" t="s">
        <v>615</v>
      </c>
      <c r="Y65" t="s">
        <v>616</v>
      </c>
      <c r="Z65" t="s">
        <v>617</v>
      </c>
      <c r="AG65">
        <f>AG63+2</f>
        <v>3.5</v>
      </c>
      <c r="AI65">
        <f>AI63+2.5</f>
        <v>5</v>
      </c>
      <c r="AZ65" s="24">
        <f>AZ63+0.75</f>
        <v>1.25</v>
      </c>
      <c r="BB65">
        <f>BB63</f>
        <v>0.05</v>
      </c>
    </row>
    <row r="66" spans="19:58">
      <c r="S66" s="71"/>
      <c r="T66" s="71"/>
      <c r="U66">
        <v>1985</v>
      </c>
      <c r="V66" t="s">
        <v>618</v>
      </c>
      <c r="W66" t="s">
        <v>618</v>
      </c>
      <c r="Y66" t="s">
        <v>619</v>
      </c>
      <c r="Z66" t="s">
        <v>620</v>
      </c>
      <c r="AG66">
        <f>AG65+2</f>
        <v>5.5</v>
      </c>
      <c r="AI66">
        <f>AI65+3</f>
        <v>8</v>
      </c>
      <c r="AZ66" s="24">
        <f>AZ65+0.5</f>
        <v>1.75</v>
      </c>
      <c r="BB66">
        <f>BB65</f>
        <v>0.05</v>
      </c>
    </row>
    <row r="67" spans="19:58">
      <c r="S67" s="71"/>
      <c r="T67" s="71"/>
      <c r="U67">
        <v>1995</v>
      </c>
      <c r="V67" t="s">
        <v>621</v>
      </c>
      <c r="W67" t="s">
        <v>621</v>
      </c>
      <c r="Y67" t="s">
        <v>622</v>
      </c>
      <c r="Z67" t="s">
        <v>623</v>
      </c>
      <c r="AG67">
        <f>AG66+2</f>
        <v>7.5</v>
      </c>
      <c r="AI67">
        <f>AI66+3</f>
        <v>11</v>
      </c>
      <c r="AZ67" s="24">
        <f>AZ66+0.5</f>
        <v>2.25</v>
      </c>
      <c r="BB67">
        <f>BB66</f>
        <v>0.05</v>
      </c>
    </row>
    <row r="68" spans="19:58">
      <c r="S68" s="71"/>
      <c r="T68" s="71"/>
      <c r="U68">
        <v>2015</v>
      </c>
      <c r="V68" t="s">
        <v>624</v>
      </c>
      <c r="W68" t="s">
        <v>624</v>
      </c>
      <c r="Y68" t="s">
        <v>625</v>
      </c>
      <c r="Z68" t="s">
        <v>626</v>
      </c>
      <c r="AG68">
        <f>AG67+2</f>
        <v>9.5</v>
      </c>
      <c r="AI68">
        <f>AI67+3</f>
        <v>14</v>
      </c>
      <c r="AZ68" s="24">
        <f>AZ67+0.5</f>
        <v>2.75</v>
      </c>
      <c r="BB68">
        <f>BB67</f>
        <v>0.05</v>
      </c>
    </row>
    <row r="69" spans="19:58">
      <c r="S69" s="71"/>
    </row>
    <row r="70" spans="19:58">
      <c r="S70" s="71"/>
      <c r="T70" s="71" t="s">
        <v>627</v>
      </c>
      <c r="U70" s="15">
        <v>1980</v>
      </c>
      <c r="V70" s="15" t="s">
        <v>628</v>
      </c>
      <c r="W70" s="15" t="s">
        <v>628</v>
      </c>
      <c r="Y70" s="15" t="s">
        <v>629</v>
      </c>
      <c r="Z70" s="15" t="s">
        <v>630</v>
      </c>
      <c r="AA70" s="26">
        <v>-0.04</v>
      </c>
      <c r="AG70" s="15">
        <v>6</v>
      </c>
      <c r="AH70" s="15"/>
      <c r="AI70" s="15">
        <v>3</v>
      </c>
      <c r="AJ70" s="15"/>
      <c r="AV70" s="15">
        <v>0.15</v>
      </c>
      <c r="AZ70" s="25">
        <v>5</v>
      </c>
      <c r="BA70" s="15"/>
      <c r="BB70" s="15">
        <v>0.2</v>
      </c>
      <c r="BF70">
        <v>1</v>
      </c>
    </row>
    <row r="71" spans="19:58">
      <c r="S71" s="71"/>
      <c r="T71" s="71"/>
      <c r="U71">
        <v>1990</v>
      </c>
      <c r="V71" t="s">
        <v>631</v>
      </c>
      <c r="W71" t="s">
        <v>631</v>
      </c>
      <c r="Y71" t="s">
        <v>632</v>
      </c>
      <c r="Z71" t="s">
        <v>633</v>
      </c>
      <c r="AA71" s="28">
        <f>AA70+0.5%</f>
        <v>-3.5000000000000003E-2</v>
      </c>
      <c r="AG71">
        <f>AG70+3.5</f>
        <v>9.5</v>
      </c>
      <c r="AI71">
        <f>AI70+1.75</f>
        <v>4.75</v>
      </c>
      <c r="AV71">
        <f>AV70+0.1</f>
        <v>0.25</v>
      </c>
      <c r="AZ71" s="24">
        <f>AZ70+0.5</f>
        <v>5.5</v>
      </c>
      <c r="BB71">
        <f>BB70+0.05</f>
        <v>0.25</v>
      </c>
      <c r="BF71">
        <v>1</v>
      </c>
    </row>
    <row r="72" spans="19:58">
      <c r="S72" s="71"/>
      <c r="T72" s="71"/>
      <c r="U72">
        <v>2005</v>
      </c>
      <c r="V72" t="s">
        <v>634</v>
      </c>
      <c r="W72" t="s">
        <v>634</v>
      </c>
      <c r="Y72" t="s">
        <v>635</v>
      </c>
      <c r="Z72" t="s">
        <v>636</v>
      </c>
      <c r="AA72" s="27">
        <f>AA71+0.5%</f>
        <v>-3.0000000000000002E-2</v>
      </c>
      <c r="AG72">
        <f>AG71+3.5</f>
        <v>13</v>
      </c>
      <c r="AI72">
        <f>AI71+1.75</f>
        <v>6.5</v>
      </c>
      <c r="AV72">
        <f>AV71+0.1</f>
        <v>0.35</v>
      </c>
      <c r="AZ72" s="24">
        <f>AZ71+0.5</f>
        <v>6</v>
      </c>
      <c r="BB72">
        <f>BB71+0.05</f>
        <v>0.3</v>
      </c>
      <c r="BF72">
        <v>2</v>
      </c>
    </row>
    <row r="73" spans="19:58">
      <c r="S73" s="71"/>
      <c r="T73" s="71"/>
      <c r="U73">
        <v>2015</v>
      </c>
      <c r="V73" t="s">
        <v>637</v>
      </c>
      <c r="W73" t="s">
        <v>637</v>
      </c>
      <c r="Y73" t="s">
        <v>638</v>
      </c>
      <c r="Z73" t="s">
        <v>639</v>
      </c>
      <c r="AA73" s="28">
        <f>AA72+0.5%</f>
        <v>-2.5000000000000001E-2</v>
      </c>
      <c r="AG73">
        <f>AG72+3.5</f>
        <v>16.5</v>
      </c>
      <c r="AI73">
        <f>AI72+1.75</f>
        <v>8.25</v>
      </c>
      <c r="AV73">
        <f>AV72+0.1</f>
        <v>0.44999999999999996</v>
      </c>
      <c r="AZ73" s="24">
        <f>AZ72+0.5</f>
        <v>6.5</v>
      </c>
      <c r="BB73">
        <f>BB72+0.05</f>
        <v>0.35</v>
      </c>
      <c r="BF73">
        <v>2</v>
      </c>
    </row>
    <row r="74" spans="19:58">
      <c r="S74" s="71"/>
      <c r="T74" s="71"/>
      <c r="U74" s="15">
        <v>1990</v>
      </c>
      <c r="V74" s="15" t="s">
        <v>640</v>
      </c>
      <c r="W74" s="15" t="s">
        <v>640</v>
      </c>
      <c r="Y74" s="15" t="s">
        <v>641</v>
      </c>
      <c r="Z74" s="15" t="s">
        <v>642</v>
      </c>
      <c r="AA74" s="15"/>
      <c r="AG74" s="15">
        <v>2</v>
      </c>
      <c r="AH74" s="26">
        <v>0.05</v>
      </c>
      <c r="AI74" s="15">
        <v>4</v>
      </c>
      <c r="AJ74" s="26">
        <v>0.05</v>
      </c>
      <c r="AV74" s="15">
        <v>0.15</v>
      </c>
      <c r="AZ74" s="25">
        <v>1.5</v>
      </c>
      <c r="BA74" s="15"/>
      <c r="BB74" s="15">
        <v>0.1</v>
      </c>
      <c r="BF74">
        <v>1</v>
      </c>
    </row>
    <row r="75" spans="19:58">
      <c r="S75" s="71"/>
      <c r="T75" s="71"/>
      <c r="U75">
        <v>2010</v>
      </c>
      <c r="V75" t="s">
        <v>643</v>
      </c>
      <c r="W75" t="s">
        <v>643</v>
      </c>
      <c r="Y75" t="s">
        <v>644</v>
      </c>
      <c r="Z75" t="s">
        <v>645</v>
      </c>
      <c r="AG75">
        <f>AG74+2</f>
        <v>4</v>
      </c>
      <c r="AH75" s="27">
        <f>AH74+5%</f>
        <v>0.1</v>
      </c>
      <c r="AI75">
        <f>AI74+4</f>
        <v>8</v>
      </c>
      <c r="AJ75" s="27">
        <f>AJ74+5%</f>
        <v>0.1</v>
      </c>
      <c r="AV75">
        <f>AV74+0.2</f>
        <v>0.35</v>
      </c>
      <c r="AZ75" s="24">
        <f>AZ74+1.5</f>
        <v>3</v>
      </c>
      <c r="BB75">
        <f>BB74+0.1</f>
        <v>0.2</v>
      </c>
      <c r="BF75">
        <v>2</v>
      </c>
    </row>
    <row r="76" spans="19:58">
      <c r="S76" s="71"/>
    </row>
    <row r="77" spans="19:58">
      <c r="S77" s="71"/>
      <c r="T77" s="71" t="s">
        <v>646</v>
      </c>
      <c r="U77" s="15">
        <v>1942</v>
      </c>
      <c r="V77" s="15" t="s">
        <v>647</v>
      </c>
      <c r="W77" s="15" t="s">
        <v>647</v>
      </c>
      <c r="Y77" s="15" t="s">
        <v>648</v>
      </c>
      <c r="Z77" s="15" t="s">
        <v>649</v>
      </c>
      <c r="AA77" s="26">
        <v>0.05</v>
      </c>
      <c r="AZ77" s="25">
        <v>1</v>
      </c>
      <c r="BA77" s="15"/>
      <c r="BB77" s="15">
        <v>0.1</v>
      </c>
    </row>
    <row r="78" spans="19:58">
      <c r="S78" s="71"/>
      <c r="T78" s="71"/>
      <c r="U78">
        <v>1950</v>
      </c>
      <c r="V78" t="s">
        <v>650</v>
      </c>
      <c r="W78" t="s">
        <v>650</v>
      </c>
      <c r="Y78" t="s">
        <v>651</v>
      </c>
      <c r="Z78" t="s">
        <v>652</v>
      </c>
      <c r="AA78" s="28">
        <f>AA77+2.5%</f>
        <v>7.5000000000000011E-2</v>
      </c>
      <c r="AZ78" s="24">
        <f>AZ77+0.5</f>
        <v>1.5</v>
      </c>
      <c r="BB78">
        <f>BB77+0.05</f>
        <v>0.15000000000000002</v>
      </c>
    </row>
    <row r="79" spans="19:58">
      <c r="S79" s="71"/>
      <c r="T79" s="71"/>
      <c r="U79">
        <v>1975</v>
      </c>
      <c r="V79" t="s">
        <v>653</v>
      </c>
      <c r="W79" t="s">
        <v>653</v>
      </c>
      <c r="Y79" t="s">
        <v>654</v>
      </c>
      <c r="Z79" t="s">
        <v>655</v>
      </c>
      <c r="AA79" s="27">
        <f>AA78+2.5%</f>
        <v>0.1</v>
      </c>
      <c r="AZ79" s="24">
        <f>AZ78+0.5</f>
        <v>2</v>
      </c>
      <c r="BB79">
        <f>BB78+0.05</f>
        <v>0.2</v>
      </c>
    </row>
    <row r="82" spans="19:61">
      <c r="S82" s="93" t="s">
        <v>471</v>
      </c>
      <c r="T82" s="93" t="s">
        <v>2</v>
      </c>
      <c r="U82" s="93" t="s">
        <v>3</v>
      </c>
      <c r="V82" s="93" t="s">
        <v>472</v>
      </c>
      <c r="W82" s="93" t="s">
        <v>473</v>
      </c>
      <c r="X82" s="93" t="s">
        <v>240</v>
      </c>
      <c r="Y82" s="93"/>
      <c r="Z82" s="93" t="s">
        <v>474</v>
      </c>
      <c r="AA82" s="94" t="s">
        <v>121</v>
      </c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4"/>
      <c r="AW82" s="94"/>
      <c r="AX82" s="94"/>
      <c r="AY82" s="94"/>
      <c r="AZ82" s="94"/>
      <c r="BA82" s="94"/>
      <c r="BB82" s="94"/>
      <c r="BC82" s="95" t="s">
        <v>241</v>
      </c>
      <c r="BD82" s="95"/>
      <c r="BE82" s="95"/>
      <c r="BF82" s="95"/>
      <c r="BG82" s="95"/>
    </row>
    <row r="83" spans="19:61">
      <c r="S83" s="93"/>
      <c r="T83" s="93"/>
      <c r="U83" s="93"/>
      <c r="V83" s="93"/>
      <c r="W83" s="93"/>
      <c r="X83" s="68" t="s">
        <v>477</v>
      </c>
      <c r="Y83" s="68" t="s">
        <v>243</v>
      </c>
      <c r="Z83" s="93"/>
      <c r="AA83" s="46" t="s">
        <v>244</v>
      </c>
      <c r="AB83" s="46" t="s">
        <v>245</v>
      </c>
      <c r="AC83" s="46" t="s">
        <v>124</v>
      </c>
      <c r="AD83" s="46" t="s">
        <v>246</v>
      </c>
      <c r="AE83" s="46" t="s">
        <v>125</v>
      </c>
      <c r="AF83" s="46" t="s">
        <v>247</v>
      </c>
      <c r="AG83" s="46" t="s">
        <v>248</v>
      </c>
      <c r="AH83" s="46" t="s">
        <v>249</v>
      </c>
      <c r="AI83" s="46" t="s">
        <v>250</v>
      </c>
      <c r="AJ83" s="46" t="s">
        <v>251</v>
      </c>
      <c r="AK83" s="46" t="s">
        <v>8</v>
      </c>
      <c r="AL83" s="46" t="s">
        <v>253</v>
      </c>
      <c r="AM83" s="46" t="s">
        <v>126</v>
      </c>
      <c r="AN83" s="46" t="s">
        <v>478</v>
      </c>
      <c r="AO83" s="46" t="s">
        <v>127</v>
      </c>
      <c r="AP83" s="46" t="s">
        <v>252</v>
      </c>
      <c r="AQ83" s="46" t="s">
        <v>112</v>
      </c>
      <c r="AR83" s="46" t="s">
        <v>343</v>
      </c>
      <c r="AS83" s="53" t="s">
        <v>479</v>
      </c>
      <c r="AT83" s="46" t="s">
        <v>254</v>
      </c>
      <c r="AU83" s="46" t="s">
        <v>255</v>
      </c>
      <c r="AV83" s="46" t="s">
        <v>256</v>
      </c>
      <c r="AW83" s="46" t="s">
        <v>257</v>
      </c>
      <c r="AX83" s="46" t="s">
        <v>480</v>
      </c>
      <c r="AY83" s="46" t="s">
        <v>481</v>
      </c>
      <c r="AZ83" s="47" t="s">
        <v>9</v>
      </c>
      <c r="BA83" s="46" t="s">
        <v>258</v>
      </c>
      <c r="BB83" s="46" t="s">
        <v>259</v>
      </c>
      <c r="BC83" s="46" t="s">
        <v>260</v>
      </c>
      <c r="BD83" s="46" t="s">
        <v>261</v>
      </c>
      <c r="BE83" s="46" t="s">
        <v>262</v>
      </c>
      <c r="BF83" s="46" t="s">
        <v>263</v>
      </c>
      <c r="BG83" s="46" t="s">
        <v>264</v>
      </c>
    </row>
    <row r="84" spans="19:61">
      <c r="S84" s="88" t="s">
        <v>656</v>
      </c>
      <c r="T84" s="85" t="s">
        <v>344</v>
      </c>
      <c r="U84" s="15">
        <v>1942</v>
      </c>
      <c r="V84" s="15" t="s">
        <v>346</v>
      </c>
      <c r="W84" s="15" t="s">
        <v>346</v>
      </c>
      <c r="Y84" s="15" t="s">
        <v>346</v>
      </c>
      <c r="Z84" s="15" t="s">
        <v>347</v>
      </c>
      <c r="AA84" s="26">
        <v>-0.02</v>
      </c>
      <c r="AD84" s="39">
        <v>2.5000000000000001E-2</v>
      </c>
      <c r="AE84" s="15"/>
      <c r="AF84" s="39">
        <v>2.5000000000000001E-2</v>
      </c>
      <c r="AG84" s="15">
        <v>3</v>
      </c>
      <c r="AH84" s="15"/>
      <c r="AI84" s="15">
        <v>1</v>
      </c>
      <c r="AL84" s="15"/>
      <c r="AO84" s="15"/>
      <c r="AU84" s="26">
        <v>0.02</v>
      </c>
      <c r="AV84" s="15"/>
      <c r="AZ84" s="25">
        <v>1</v>
      </c>
      <c r="BB84" s="15">
        <v>0.1</v>
      </c>
    </row>
    <row r="85" spans="19:61">
      <c r="S85" s="89"/>
      <c r="T85" s="71"/>
      <c r="U85">
        <v>1944</v>
      </c>
      <c r="V85" t="s">
        <v>348</v>
      </c>
      <c r="W85" t="s">
        <v>348</v>
      </c>
      <c r="Y85" t="s">
        <v>349</v>
      </c>
      <c r="Z85" t="s">
        <v>350</v>
      </c>
      <c r="AA85" s="27">
        <f>AA84*2</f>
        <v>-0.04</v>
      </c>
      <c r="AD85" s="27">
        <f>AD84*2</f>
        <v>0.05</v>
      </c>
      <c r="AF85" s="27">
        <f>AF84*2</f>
        <v>0.05</v>
      </c>
      <c r="AG85">
        <f>AG84+2</f>
        <v>5</v>
      </c>
      <c r="AI85">
        <f>AI84*2</f>
        <v>2</v>
      </c>
      <c r="AU85" s="27">
        <f>AU84+2%</f>
        <v>0.04</v>
      </c>
      <c r="AV85">
        <f>AV84+0.1</f>
        <v>0.1</v>
      </c>
      <c r="AZ85" s="24">
        <f>AZ84*2</f>
        <v>2</v>
      </c>
      <c r="BB85">
        <f>BB84*4</f>
        <v>0.4</v>
      </c>
    </row>
    <row r="86" spans="19:61">
      <c r="S86" s="89"/>
      <c r="T86" s="71"/>
      <c r="U86" s="15">
        <v>1950</v>
      </c>
      <c r="V86" s="21" t="s">
        <v>352</v>
      </c>
      <c r="W86" s="51" t="s">
        <v>352</v>
      </c>
      <c r="Y86" s="15" t="s">
        <v>353</v>
      </c>
      <c r="Z86" s="21" t="s">
        <v>354</v>
      </c>
      <c r="AA86" s="26">
        <v>-0.06</v>
      </c>
      <c r="AD86" s="26">
        <v>0.1</v>
      </c>
      <c r="AE86" s="15"/>
      <c r="AF86" s="26">
        <v>0.1</v>
      </c>
      <c r="AG86" s="15">
        <v>4</v>
      </c>
      <c r="AH86" s="15"/>
      <c r="AI86" s="15">
        <v>4</v>
      </c>
      <c r="AL86" s="26">
        <v>-0.05</v>
      </c>
      <c r="AO86" s="15">
        <v>0.25</v>
      </c>
      <c r="AU86" s="26">
        <v>0.06</v>
      </c>
      <c r="AV86" s="15"/>
      <c r="AZ86" s="25">
        <v>3</v>
      </c>
      <c r="BA86" s="15"/>
      <c r="BB86" s="15">
        <v>0.6</v>
      </c>
      <c r="BC86" s="15"/>
      <c r="BD86" s="15"/>
      <c r="BE86" s="15"/>
      <c r="BF86" s="15"/>
    </row>
    <row r="87" spans="19:61">
      <c r="S87" s="89"/>
      <c r="T87" s="71"/>
      <c r="U87" s="1">
        <v>1995</v>
      </c>
      <c r="V87" s="19" t="s">
        <v>355</v>
      </c>
      <c r="W87" s="52" t="s">
        <v>355</v>
      </c>
      <c r="Y87" t="s">
        <v>356</v>
      </c>
      <c r="Z87" s="19" t="s">
        <v>357</v>
      </c>
      <c r="AA87" s="27">
        <f>AA86-10%</f>
        <v>-0.16</v>
      </c>
      <c r="AD87" s="28">
        <f>AD86+7.5%</f>
        <v>0.17499999999999999</v>
      </c>
      <c r="AF87" s="28">
        <f>AF86+7.5%</f>
        <v>0.17499999999999999</v>
      </c>
      <c r="AG87">
        <f>AG86+6</f>
        <v>10</v>
      </c>
      <c r="AI87">
        <f>AI86+6</f>
        <v>10</v>
      </c>
      <c r="AL87" s="27">
        <v>0.1</v>
      </c>
      <c r="AO87">
        <f>AO86+0.25</f>
        <v>0.5</v>
      </c>
      <c r="AU87" s="27">
        <f>AU86+4%</f>
        <v>0.1</v>
      </c>
      <c r="AV87">
        <f>AV86+0.5</f>
        <v>0.5</v>
      </c>
      <c r="AZ87" s="24">
        <f>AZ86+3.5</f>
        <v>6.5</v>
      </c>
      <c r="BB87">
        <f>BB86+0.2</f>
        <v>0.8</v>
      </c>
      <c r="BF87">
        <v>1</v>
      </c>
    </row>
    <row r="88" spans="19:61">
      <c r="S88" s="89"/>
      <c r="T88" s="71"/>
      <c r="U88" s="15">
        <v>1960</v>
      </c>
      <c r="V88" s="29" t="s">
        <v>359</v>
      </c>
      <c r="W88" s="51" t="s">
        <v>359</v>
      </c>
      <c r="Y88" s="15" t="s">
        <v>360</v>
      </c>
      <c r="Z88" s="29" t="s">
        <v>361</v>
      </c>
      <c r="AA88" s="26">
        <v>-0.2</v>
      </c>
      <c r="AD88" s="26">
        <v>0.1</v>
      </c>
      <c r="AE88" s="15"/>
      <c r="AF88" s="26">
        <v>0.1</v>
      </c>
      <c r="AG88" s="15">
        <v>10</v>
      </c>
      <c r="AH88" s="15"/>
      <c r="AI88" s="15">
        <v>-5</v>
      </c>
      <c r="AL88" s="26">
        <v>0.3</v>
      </c>
      <c r="AO88" s="15">
        <v>1</v>
      </c>
      <c r="AU88" s="26">
        <v>0.08</v>
      </c>
      <c r="AV88" s="15">
        <v>0.2</v>
      </c>
      <c r="AZ88" s="25">
        <v>4</v>
      </c>
      <c r="BB88" s="15">
        <v>1.5</v>
      </c>
    </row>
    <row r="89" spans="19:61">
      <c r="S89" s="89"/>
      <c r="T89" s="71"/>
      <c r="U89">
        <v>1970</v>
      </c>
      <c r="V89" s="8" t="s">
        <v>362</v>
      </c>
      <c r="W89" s="52" t="s">
        <v>362</v>
      </c>
      <c r="Y89" t="s">
        <v>363</v>
      </c>
      <c r="Z89" s="8" t="s">
        <v>364</v>
      </c>
      <c r="AA89" s="28">
        <f>AA88+2.5%</f>
        <v>-0.17500000000000002</v>
      </c>
      <c r="AD89" s="28">
        <f>AD88-2.5%</f>
        <v>7.5000000000000011E-2</v>
      </c>
      <c r="AF89" s="28">
        <f>AF88-2.5%</f>
        <v>7.5000000000000011E-2</v>
      </c>
      <c r="AG89">
        <f>AG88+2</f>
        <v>12</v>
      </c>
      <c r="AI89">
        <f>AI88+2</f>
        <v>-3</v>
      </c>
      <c r="AL89" s="27">
        <f>AL88</f>
        <v>0.3</v>
      </c>
      <c r="AO89">
        <f>AO88</f>
        <v>1</v>
      </c>
      <c r="AU89" s="32">
        <f>AU88</f>
        <v>0.08</v>
      </c>
      <c r="AV89">
        <f>AV88+0.2</f>
        <v>0.4</v>
      </c>
      <c r="AZ89" s="24">
        <f>AZ88+0.65</f>
        <v>4.6500000000000004</v>
      </c>
      <c r="BB89">
        <f>BB88</f>
        <v>1.5</v>
      </c>
      <c r="BF89">
        <v>1</v>
      </c>
    </row>
    <row r="90" spans="19:61">
      <c r="S90" s="89"/>
      <c r="T90" s="71"/>
      <c r="U90">
        <v>1990</v>
      </c>
      <c r="V90" s="8" t="s">
        <v>365</v>
      </c>
      <c r="W90" s="52" t="s">
        <v>365</v>
      </c>
      <c r="Y90" t="s">
        <v>366</v>
      </c>
      <c r="Z90" s="8" t="s">
        <v>367</v>
      </c>
      <c r="AA90" s="27">
        <f>AA89+2.5%</f>
        <v>-0.15000000000000002</v>
      </c>
      <c r="AD90" s="28">
        <f>AD88+2.5%</f>
        <v>0.125</v>
      </c>
      <c r="AF90" s="28">
        <f>AF88+2.5%</f>
        <v>0.125</v>
      </c>
      <c r="AG90">
        <f>AG89+2</f>
        <v>14</v>
      </c>
      <c r="AI90">
        <f>AI89+2</f>
        <v>-1</v>
      </c>
      <c r="AL90" s="27">
        <f>AL89</f>
        <v>0.3</v>
      </c>
      <c r="AO90">
        <f>AO89</f>
        <v>1</v>
      </c>
      <c r="AU90" s="32">
        <f>AU89</f>
        <v>0.08</v>
      </c>
      <c r="AV90">
        <f>AV89+0.2</f>
        <v>0.60000000000000009</v>
      </c>
      <c r="AZ90" s="24">
        <f t="shared" ref="AZ90:AZ91" si="13">AZ89+0.65</f>
        <v>5.3000000000000007</v>
      </c>
      <c r="BB90">
        <f>BB89</f>
        <v>1.5</v>
      </c>
      <c r="BF90">
        <v>1</v>
      </c>
    </row>
    <row r="91" spans="19:61">
      <c r="S91" s="89"/>
      <c r="T91" s="71"/>
      <c r="U91">
        <v>2010</v>
      </c>
      <c r="V91" s="8" t="s">
        <v>368</v>
      </c>
      <c r="W91" s="52" t="s">
        <v>368</v>
      </c>
      <c r="Y91" t="s">
        <v>369</v>
      </c>
      <c r="Z91" s="8" t="s">
        <v>370</v>
      </c>
      <c r="AA91" s="28">
        <f>AA90+2.5%</f>
        <v>-0.12500000000000003</v>
      </c>
      <c r="AD91" s="27">
        <f>AD90+2.5%</f>
        <v>0.15</v>
      </c>
      <c r="AF91" s="27">
        <f>AF90+2.5%</f>
        <v>0.15</v>
      </c>
      <c r="AG91">
        <f>AG90+2</f>
        <v>16</v>
      </c>
      <c r="AI91">
        <f>AI90+2</f>
        <v>1</v>
      </c>
      <c r="AL91" s="27">
        <f>AL90</f>
        <v>0.3</v>
      </c>
      <c r="AO91">
        <f>AO90</f>
        <v>1</v>
      </c>
      <c r="AU91" s="32">
        <f>AU90</f>
        <v>0.08</v>
      </c>
      <c r="AV91">
        <f>AV90+0.2</f>
        <v>0.8</v>
      </c>
      <c r="AZ91" s="24">
        <f t="shared" si="13"/>
        <v>5.9500000000000011</v>
      </c>
      <c r="BB91">
        <f>BB90</f>
        <v>1.5</v>
      </c>
      <c r="BF91">
        <v>1</v>
      </c>
    </row>
    <row r="92" spans="19:61">
      <c r="S92" s="89"/>
      <c r="T92" s="71"/>
      <c r="U92" s="15">
        <v>1965</v>
      </c>
      <c r="V92" s="31" t="s">
        <v>372</v>
      </c>
      <c r="W92" s="51" t="s">
        <v>372</v>
      </c>
      <c r="Y92" s="15" t="s">
        <v>373</v>
      </c>
      <c r="Z92" s="31" t="s">
        <v>374</v>
      </c>
      <c r="AA92" s="26">
        <v>-0.15</v>
      </c>
      <c r="AD92" s="39">
        <v>0.125</v>
      </c>
      <c r="AE92" s="15"/>
      <c r="AF92" s="39">
        <v>0.125</v>
      </c>
      <c r="AG92" s="15">
        <v>11</v>
      </c>
      <c r="AH92" s="15"/>
      <c r="AI92" s="15">
        <v>-4</v>
      </c>
      <c r="AL92" s="26">
        <v>0.15</v>
      </c>
      <c r="AO92" s="15">
        <v>0.5</v>
      </c>
      <c r="AU92" s="26">
        <v>0.12</v>
      </c>
      <c r="AV92" s="15">
        <v>0.35</v>
      </c>
      <c r="AZ92" s="25">
        <v>4.5</v>
      </c>
      <c r="BA92" s="15"/>
      <c r="BB92" s="15">
        <v>1.2</v>
      </c>
      <c r="BC92" s="15"/>
      <c r="BF92">
        <v>1</v>
      </c>
    </row>
    <row r="93" spans="19:61">
      <c r="S93" s="89"/>
      <c r="T93" s="71"/>
      <c r="U93">
        <v>1985</v>
      </c>
      <c r="V93" s="20" t="s">
        <v>375</v>
      </c>
      <c r="W93" s="52" t="s">
        <v>375</v>
      </c>
      <c r="Y93" t="s">
        <v>376</v>
      </c>
      <c r="Z93" s="35" t="s">
        <v>377</v>
      </c>
      <c r="AA93" s="28">
        <f>AA92+2.5%</f>
        <v>-0.125</v>
      </c>
      <c r="AD93" s="27">
        <f>AD92+2.5%</f>
        <v>0.15</v>
      </c>
      <c r="AF93" s="27">
        <f>AF92+2.5%</f>
        <v>0.15</v>
      </c>
      <c r="AG93">
        <f>AG92+3</f>
        <v>14</v>
      </c>
      <c r="AI93">
        <f>AI92+3</f>
        <v>-1</v>
      </c>
      <c r="AL93" s="27">
        <f>AL92</f>
        <v>0.15</v>
      </c>
      <c r="AO93">
        <f>AO92</f>
        <v>0.5</v>
      </c>
      <c r="AU93" s="32">
        <f>AU92</f>
        <v>0.12</v>
      </c>
      <c r="AV93">
        <f>AV92+0.3</f>
        <v>0.64999999999999991</v>
      </c>
      <c r="AZ93" s="24">
        <f>AZ92+0.65</f>
        <v>5.15</v>
      </c>
      <c r="BB93">
        <f>BB92</f>
        <v>1.2</v>
      </c>
      <c r="BF93">
        <v>1</v>
      </c>
    </row>
    <row r="94" spans="19:61">
      <c r="S94" s="89"/>
      <c r="T94" s="71"/>
      <c r="U94">
        <v>2005</v>
      </c>
      <c r="V94" s="20" t="s">
        <v>378</v>
      </c>
      <c r="W94" s="52" t="s">
        <v>378</v>
      </c>
      <c r="Y94" t="s">
        <v>379</v>
      </c>
      <c r="Z94" s="35" t="s">
        <v>380</v>
      </c>
      <c r="AA94" s="27">
        <f>AA93+2.5%</f>
        <v>-0.1</v>
      </c>
      <c r="AD94" s="28">
        <f>AD93+2.5%</f>
        <v>0.17499999999999999</v>
      </c>
      <c r="AF94" s="28">
        <f>AF93+2.5%</f>
        <v>0.17499999999999999</v>
      </c>
      <c r="AG94">
        <f>AG93+3</f>
        <v>17</v>
      </c>
      <c r="AI94">
        <f>AI93+3</f>
        <v>2</v>
      </c>
      <c r="AL94" s="27">
        <f>AL93</f>
        <v>0.15</v>
      </c>
      <c r="AO94">
        <f>AO93</f>
        <v>0.5</v>
      </c>
      <c r="AU94" s="32">
        <f>AU93</f>
        <v>0.12</v>
      </c>
      <c r="AV94">
        <f>AV93+0.3</f>
        <v>0.95</v>
      </c>
      <c r="AZ94" s="24">
        <f>AZ93+0.65</f>
        <v>5.8000000000000007</v>
      </c>
      <c r="BB94">
        <f>BB93</f>
        <v>1.2</v>
      </c>
      <c r="BF94">
        <v>1</v>
      </c>
    </row>
    <row r="95" spans="19:61">
      <c r="S95" s="89"/>
    </row>
    <row r="96" spans="19:61">
      <c r="S96" s="89"/>
      <c r="T96" s="71" t="s">
        <v>657</v>
      </c>
      <c r="U96" s="15">
        <v>1965</v>
      </c>
      <c r="V96" s="15" t="s">
        <v>658</v>
      </c>
      <c r="W96" s="51" t="s">
        <v>372</v>
      </c>
      <c r="X96" s="15"/>
      <c r="Y96" s="15" t="s">
        <v>659</v>
      </c>
      <c r="Z96" s="15" t="s">
        <v>660</v>
      </c>
      <c r="AA96" s="26">
        <v>-0.1</v>
      </c>
      <c r="AB96" s="15"/>
      <c r="AC96" s="15"/>
      <c r="AD96" s="39">
        <v>7.4999999999999997E-2</v>
      </c>
      <c r="AE96" s="15"/>
      <c r="AF96" s="39">
        <v>7.4999999999999997E-2</v>
      </c>
      <c r="AG96" s="15">
        <v>6</v>
      </c>
      <c r="AH96" s="15"/>
      <c r="AI96" s="15">
        <v>3</v>
      </c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26">
        <v>0.1</v>
      </c>
      <c r="AV96" s="15">
        <v>0.15</v>
      </c>
      <c r="AW96" s="15"/>
      <c r="AX96" s="15"/>
      <c r="AY96" s="15"/>
      <c r="AZ96" s="25">
        <v>2.5</v>
      </c>
      <c r="BA96" s="15"/>
      <c r="BB96" s="15">
        <v>0.9</v>
      </c>
      <c r="BC96" s="15"/>
      <c r="BD96" s="15"/>
      <c r="BE96" s="15"/>
      <c r="BG96" s="15"/>
      <c r="BH96" s="15"/>
      <c r="BI96" s="15"/>
    </row>
    <row r="97" spans="19:62">
      <c r="S97" s="89"/>
      <c r="T97" s="71"/>
      <c r="U97">
        <v>1985</v>
      </c>
      <c r="V97" t="s">
        <v>661</v>
      </c>
      <c r="W97" s="52" t="s">
        <v>375</v>
      </c>
      <c r="Y97" t="s">
        <v>662</v>
      </c>
      <c r="Z97" t="s">
        <v>663</v>
      </c>
      <c r="AA97" s="28">
        <f>AA96+2.5%</f>
        <v>-7.5000000000000011E-2</v>
      </c>
      <c r="AD97" s="27">
        <f>AD96+2.5%</f>
        <v>0.1</v>
      </c>
      <c r="AF97" s="27">
        <f>AF96+2.5%</f>
        <v>0.1</v>
      </c>
      <c r="AG97">
        <f>AG96+3</f>
        <v>9</v>
      </c>
      <c r="AI97">
        <f>AI96+1.5</f>
        <v>4.5</v>
      </c>
      <c r="AU97" s="27">
        <f>AU96</f>
        <v>0.1</v>
      </c>
      <c r="AV97">
        <f>AV96+0.25</f>
        <v>0.4</v>
      </c>
      <c r="AZ97" s="24">
        <f>AZ96+1</f>
        <v>3.5</v>
      </c>
      <c r="BB97">
        <f>BB96</f>
        <v>0.9</v>
      </c>
      <c r="BF97">
        <v>1</v>
      </c>
    </row>
    <row r="98" spans="19:62">
      <c r="S98" s="89"/>
      <c r="T98" s="71"/>
      <c r="U98">
        <v>2005</v>
      </c>
      <c r="V98" t="s">
        <v>664</v>
      </c>
      <c r="W98" s="52" t="s">
        <v>378</v>
      </c>
      <c r="Y98" t="s">
        <v>665</v>
      </c>
      <c r="Z98" t="s">
        <v>666</v>
      </c>
      <c r="AA98" s="27">
        <f>AA97+2.5%</f>
        <v>-5.000000000000001E-2</v>
      </c>
      <c r="AD98" s="28">
        <f>AD97+2.5%</f>
        <v>0.125</v>
      </c>
      <c r="AF98" s="28">
        <f>AF97+2.5%</f>
        <v>0.125</v>
      </c>
      <c r="AG98">
        <f>AG97+3</f>
        <v>12</v>
      </c>
      <c r="AI98">
        <f>AI97+1.5</f>
        <v>6</v>
      </c>
      <c r="AU98" s="27">
        <f>AU97</f>
        <v>0.1</v>
      </c>
      <c r="AV98">
        <f>AV97+0.25</f>
        <v>0.65</v>
      </c>
      <c r="AZ98" s="24">
        <f>AZ97+1</f>
        <v>4.5</v>
      </c>
      <c r="BB98">
        <f>BB97</f>
        <v>0.9</v>
      </c>
      <c r="BF98">
        <v>1</v>
      </c>
    </row>
    <row r="99" spans="19:62">
      <c r="S99" s="89"/>
    </row>
    <row r="100" spans="19:62">
      <c r="S100" s="89"/>
      <c r="T100" s="71" t="s">
        <v>381</v>
      </c>
      <c r="U100" s="15">
        <v>1939</v>
      </c>
      <c r="V100" s="15" t="s">
        <v>382</v>
      </c>
      <c r="W100" s="15" t="s">
        <v>525</v>
      </c>
      <c r="X100" s="15"/>
      <c r="Y100" s="15" t="s">
        <v>383</v>
      </c>
      <c r="Z100" s="15" t="s">
        <v>384</v>
      </c>
      <c r="AA100" s="15"/>
      <c r="AB100" s="15"/>
      <c r="AC100" s="15"/>
      <c r="AD100" s="15"/>
      <c r="AE100" s="15"/>
      <c r="AF100" s="15"/>
      <c r="AG100" s="51">
        <v>1</v>
      </c>
      <c r="AH100" s="51"/>
      <c r="AI100" s="54">
        <v>0.5</v>
      </c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>
        <v>0</v>
      </c>
      <c r="AW100" s="15"/>
      <c r="AX100" s="15"/>
      <c r="AY100" s="15"/>
      <c r="AZ100" s="25">
        <v>0</v>
      </c>
      <c r="BA100" s="15"/>
      <c r="BB100" s="15">
        <v>0.1</v>
      </c>
      <c r="BC100" s="15"/>
      <c r="BD100" s="15"/>
      <c r="BE100" s="15"/>
      <c r="BF100" s="15"/>
      <c r="BG100" s="15"/>
    </row>
    <row r="101" spans="19:62">
      <c r="S101" s="89"/>
      <c r="T101" s="71"/>
      <c r="U101">
        <v>1942</v>
      </c>
      <c r="V101" t="s">
        <v>385</v>
      </c>
      <c r="W101" t="s">
        <v>385</v>
      </c>
      <c r="Y101" t="s">
        <v>386</v>
      </c>
      <c r="Z101" t="s">
        <v>387</v>
      </c>
      <c r="AA101" s="27">
        <f>AA100-5%</f>
        <v>-0.05</v>
      </c>
      <c r="AG101" s="52">
        <f>AG100+4</f>
        <v>5</v>
      </c>
      <c r="AH101" s="27">
        <v>0.05</v>
      </c>
      <c r="AI101" s="52">
        <f>AI100</f>
        <v>0.5</v>
      </c>
      <c r="AV101">
        <f>AV100+0.1</f>
        <v>0.1</v>
      </c>
      <c r="AZ101" s="24">
        <f>AZ100+1.2</f>
        <v>1.2</v>
      </c>
      <c r="BB101">
        <f>BB100+0.05</f>
        <v>0.15000000000000002</v>
      </c>
    </row>
    <row r="102" spans="19:62">
      <c r="S102" s="89"/>
      <c r="T102" s="71"/>
      <c r="U102">
        <v>1955</v>
      </c>
      <c r="V102" t="s">
        <v>388</v>
      </c>
      <c r="W102" t="s">
        <v>388</v>
      </c>
      <c r="Y102" t="s">
        <v>389</v>
      </c>
      <c r="Z102" t="s">
        <v>390</v>
      </c>
      <c r="AA102" s="27">
        <f>AA100-5%</f>
        <v>-0.05</v>
      </c>
      <c r="AG102" s="52">
        <f>AG101+4</f>
        <v>9</v>
      </c>
      <c r="AH102" s="27">
        <f>AH101+5%</f>
        <v>0.1</v>
      </c>
      <c r="AI102" s="52">
        <f>AI101+0.5</f>
        <v>1</v>
      </c>
      <c r="AV102">
        <f>AV101+0.1</f>
        <v>0.2</v>
      </c>
      <c r="AZ102" s="24">
        <f t="shared" ref="AZ102:AZ105" si="14">AZ101+1.2</f>
        <v>2.4</v>
      </c>
      <c r="BB102">
        <f>BB101+0.05</f>
        <v>0.2</v>
      </c>
    </row>
    <row r="103" spans="19:62">
      <c r="S103" s="89"/>
      <c r="T103" s="71"/>
      <c r="U103">
        <v>1970</v>
      </c>
      <c r="V103" t="s">
        <v>391</v>
      </c>
      <c r="W103" t="s">
        <v>391</v>
      </c>
      <c r="Y103" t="s">
        <v>392</v>
      </c>
      <c r="Z103" t="s">
        <v>393</v>
      </c>
      <c r="AA103" s="27">
        <f>AA100-4%</f>
        <v>-0.04</v>
      </c>
      <c r="AG103" s="52">
        <f>AG102+4</f>
        <v>13</v>
      </c>
      <c r="AH103" s="27">
        <f>AH102+5%</f>
        <v>0.15000000000000002</v>
      </c>
      <c r="AI103" s="52">
        <f>AI102+1.5</f>
        <v>2.5</v>
      </c>
      <c r="AJ103" s="27">
        <v>0.05</v>
      </c>
      <c r="AV103">
        <f>AV102+0.1</f>
        <v>0.30000000000000004</v>
      </c>
      <c r="AZ103" s="24">
        <f t="shared" si="14"/>
        <v>3.5999999999999996</v>
      </c>
      <c r="BB103">
        <f>BB102+0.05</f>
        <v>0.25</v>
      </c>
      <c r="BF103">
        <v>1</v>
      </c>
    </row>
    <row r="104" spans="19:62">
      <c r="S104" s="89"/>
      <c r="T104" s="71"/>
      <c r="U104">
        <v>1985</v>
      </c>
      <c r="V104" t="s">
        <v>394</v>
      </c>
      <c r="W104" t="s">
        <v>394</v>
      </c>
      <c r="Y104" t="s">
        <v>395</v>
      </c>
      <c r="Z104" t="s">
        <v>396</v>
      </c>
      <c r="AA104" s="27">
        <f>AA100-3%</f>
        <v>-0.03</v>
      </c>
      <c r="AG104" s="52">
        <f>AG103+4</f>
        <v>17</v>
      </c>
      <c r="AH104" s="27">
        <f t="shared" ref="AH104:AH105" si="15">AH103+5%</f>
        <v>0.2</v>
      </c>
      <c r="AI104" s="52">
        <f>AI103+0.5</f>
        <v>3</v>
      </c>
      <c r="AJ104" s="27">
        <f>AJ103+5%</f>
        <v>0.1</v>
      </c>
      <c r="AV104">
        <f>AV103+0.1</f>
        <v>0.4</v>
      </c>
      <c r="AZ104" s="24">
        <f t="shared" si="14"/>
        <v>4.8</v>
      </c>
      <c r="BB104">
        <f>BB103+0.05</f>
        <v>0.3</v>
      </c>
      <c r="BF104">
        <v>1</v>
      </c>
    </row>
    <row r="105" spans="19:62">
      <c r="S105" s="89"/>
      <c r="T105" s="71"/>
      <c r="U105">
        <v>2005</v>
      </c>
      <c r="V105" t="s">
        <v>397</v>
      </c>
      <c r="W105" t="s">
        <v>397</v>
      </c>
      <c r="Y105" t="s">
        <v>398</v>
      </c>
      <c r="Z105" t="s">
        <v>399</v>
      </c>
      <c r="AA105" s="27">
        <f>AA100-2%</f>
        <v>-0.02</v>
      </c>
      <c r="AG105" s="52">
        <f>AG104+4</f>
        <v>21</v>
      </c>
      <c r="AH105" s="27">
        <f t="shared" si="15"/>
        <v>0.25</v>
      </c>
      <c r="AI105" s="52">
        <f>AI104+0.5</f>
        <v>3.5</v>
      </c>
      <c r="AJ105" s="27">
        <f>AJ104+5%</f>
        <v>0.15000000000000002</v>
      </c>
      <c r="AV105">
        <f>AV104+0.1</f>
        <v>0.5</v>
      </c>
      <c r="AZ105" s="24">
        <f t="shared" si="14"/>
        <v>6</v>
      </c>
      <c r="BB105">
        <f>BB104+0.05</f>
        <v>0.35</v>
      </c>
      <c r="BF105">
        <v>1</v>
      </c>
    </row>
    <row r="106" spans="19:62">
      <c r="S106" s="89"/>
    </row>
    <row r="107" spans="19:62">
      <c r="S107" s="89"/>
      <c r="T107" s="71" t="s">
        <v>667</v>
      </c>
      <c r="U107" s="15">
        <v>1939</v>
      </c>
      <c r="V107" s="15" t="s">
        <v>668</v>
      </c>
      <c r="W107" s="15" t="s">
        <v>525</v>
      </c>
      <c r="Y107" s="15" t="s">
        <v>669</v>
      </c>
      <c r="Z107" s="15" t="s">
        <v>670</v>
      </c>
      <c r="AG107" s="51">
        <v>1</v>
      </c>
      <c r="AI107" s="54">
        <v>0.5</v>
      </c>
      <c r="AV107" s="15">
        <v>0</v>
      </c>
      <c r="AZ107" s="25">
        <v>0.5</v>
      </c>
      <c r="BB107" s="15">
        <v>0.1</v>
      </c>
      <c r="BH107" s="15"/>
      <c r="BI107" s="15"/>
      <c r="BJ107" s="15"/>
    </row>
    <row r="108" spans="19:62">
      <c r="S108" s="89"/>
      <c r="T108" s="71"/>
      <c r="U108">
        <v>1955</v>
      </c>
      <c r="V108" t="s">
        <v>671</v>
      </c>
      <c r="W108" t="s">
        <v>388</v>
      </c>
      <c r="Y108" t="s">
        <v>672</v>
      </c>
      <c r="Z108" t="s">
        <v>673</v>
      </c>
      <c r="AA108" s="27">
        <f>AA106-5%</f>
        <v>-0.05</v>
      </c>
      <c r="AG108" s="52">
        <f>AG107+8</f>
        <v>9</v>
      </c>
      <c r="AH108" s="27">
        <f>AH107+10%</f>
        <v>0.1</v>
      </c>
      <c r="AI108" s="52">
        <f>AI107+0.5</f>
        <v>1</v>
      </c>
      <c r="AV108">
        <f>AV107+0.2</f>
        <v>0.2</v>
      </c>
      <c r="AY108" s="27">
        <v>0.2</v>
      </c>
      <c r="AZ108" s="24">
        <f>AZ107*6</f>
        <v>3</v>
      </c>
      <c r="BB108">
        <f>BB107+0.1</f>
        <v>0.2</v>
      </c>
    </row>
    <row r="109" spans="19:62">
      <c r="S109" s="89"/>
      <c r="T109" s="71"/>
      <c r="U109">
        <v>1970</v>
      </c>
      <c r="V109" t="s">
        <v>674</v>
      </c>
      <c r="W109" t="s">
        <v>391</v>
      </c>
      <c r="Y109" t="s">
        <v>675</v>
      </c>
      <c r="Z109" t="s">
        <v>676</v>
      </c>
      <c r="AA109" s="27">
        <f>AA106-4%</f>
        <v>-0.04</v>
      </c>
      <c r="AG109" s="52">
        <f>AG108+4</f>
        <v>13</v>
      </c>
      <c r="AH109" s="27">
        <f>AH108+5%</f>
        <v>0.15000000000000002</v>
      </c>
      <c r="AI109" s="52">
        <f>AI108+1.5</f>
        <v>2.5</v>
      </c>
      <c r="AJ109" s="27">
        <v>0.05</v>
      </c>
      <c r="AV109">
        <f>AV108+0.1</f>
        <v>0.30000000000000004</v>
      </c>
      <c r="AY109" s="27">
        <f>AY108+5%</f>
        <v>0.25</v>
      </c>
      <c r="AZ109" s="24">
        <f>AZ108+1.2</f>
        <v>4.2</v>
      </c>
      <c r="BB109">
        <f>BB108+0.05</f>
        <v>0.25</v>
      </c>
      <c r="BF109">
        <v>1</v>
      </c>
    </row>
    <row r="110" spans="19:62">
      <c r="S110" s="89"/>
      <c r="T110" s="71"/>
      <c r="U110">
        <v>1985</v>
      </c>
      <c r="V110" t="s">
        <v>677</v>
      </c>
      <c r="W110" t="s">
        <v>394</v>
      </c>
      <c r="Y110" t="s">
        <v>678</v>
      </c>
      <c r="Z110" t="s">
        <v>679</v>
      </c>
      <c r="AA110" s="27">
        <f>AA106-3%</f>
        <v>-0.03</v>
      </c>
      <c r="AG110" s="52">
        <f>AG109+4</f>
        <v>17</v>
      </c>
      <c r="AH110" s="27">
        <f t="shared" ref="AH110:AH111" si="16">AH109+5%</f>
        <v>0.2</v>
      </c>
      <c r="AI110" s="52">
        <f>AI109+0.5</f>
        <v>3</v>
      </c>
      <c r="AJ110" s="27">
        <f>AJ109+5%</f>
        <v>0.1</v>
      </c>
      <c r="AV110">
        <f>AV109+0.1</f>
        <v>0.4</v>
      </c>
      <c r="AY110" s="27">
        <f t="shared" ref="AY110:AY111" si="17">AY109+5%</f>
        <v>0.3</v>
      </c>
      <c r="AZ110" s="24">
        <f t="shared" ref="AZ110:AZ111" si="18">AZ109+1.2</f>
        <v>5.4</v>
      </c>
      <c r="BB110">
        <f>BB109+0.05</f>
        <v>0.3</v>
      </c>
      <c r="BF110">
        <v>1</v>
      </c>
    </row>
    <row r="111" spans="19:62">
      <c r="S111" s="89"/>
      <c r="T111" s="71"/>
      <c r="U111">
        <v>2005</v>
      </c>
      <c r="V111" t="s">
        <v>680</v>
      </c>
      <c r="W111" t="s">
        <v>397</v>
      </c>
      <c r="Y111" t="s">
        <v>681</v>
      </c>
      <c r="Z111" t="s">
        <v>682</v>
      </c>
      <c r="AA111" s="27">
        <f>AA106-2%</f>
        <v>-0.02</v>
      </c>
      <c r="AG111" s="52">
        <f>AG110+4</f>
        <v>21</v>
      </c>
      <c r="AH111" s="27">
        <f t="shared" si="16"/>
        <v>0.25</v>
      </c>
      <c r="AI111" s="52">
        <f>AI110+0.5</f>
        <v>3.5</v>
      </c>
      <c r="AJ111" s="27">
        <f>AJ110+5%</f>
        <v>0.15000000000000002</v>
      </c>
      <c r="AV111">
        <f>AV110+0.1</f>
        <v>0.5</v>
      </c>
      <c r="AY111" s="27">
        <f t="shared" si="17"/>
        <v>0.35</v>
      </c>
      <c r="AZ111" s="24">
        <f t="shared" si="18"/>
        <v>6.6000000000000005</v>
      </c>
      <c r="BB111">
        <f>BB110+0.05</f>
        <v>0.35</v>
      </c>
      <c r="BF111">
        <v>1</v>
      </c>
    </row>
    <row r="112" spans="19:62">
      <c r="S112" s="89"/>
      <c r="T112" s="4"/>
    </row>
    <row r="113" spans="19:59">
      <c r="S113" s="89"/>
      <c r="T113" s="71" t="s">
        <v>422</v>
      </c>
      <c r="U113" s="15">
        <v>1939</v>
      </c>
      <c r="V113" s="15" t="s">
        <v>423</v>
      </c>
      <c r="W113" s="15" t="s">
        <v>525</v>
      </c>
      <c r="Y113" s="15" t="s">
        <v>424</v>
      </c>
      <c r="Z113" s="15" t="s">
        <v>425</v>
      </c>
      <c r="AA113" s="15" t="inlineStr">
        <is>
          <t>-1%</t>
        </is>
      </c>
      <c r="AD113" s="15" t="inlineStr">
        <is>
          <t>5%</t>
        </is>
      </c>
      <c r="AE113" s="15"/>
      <c r="AF113" s="15" t="inlineStr">
        <is>
          <t>5%</t>
        </is>
      </c>
      <c r="AG113" s="15"/>
      <c r="AH113" s="15"/>
      <c r="AI113" s="15"/>
      <c r="AJ113" s="15"/>
      <c r="AL113" s="15" t="inlineStr">
        <is>
          <t>-5%</t>
        </is>
      </c>
      <c r="AV113" s="15"/>
      <c r="AZ113" s="25" t="inlineStr">
        <is>
          <t>0.5</t>
        </is>
      </c>
      <c r="BA113" s="15"/>
      <c r="BB113" s="15" t="inlineStr">
        <is>
          <t>0.15</t>
        </is>
      </c>
    </row>
    <row r="114" spans="19:59">
      <c r="S114" s="89"/>
      <c r="T114" s="71"/>
      <c r="U114">
        <v>1944</v>
      </c>
      <c r="V114" t="s">
        <v>426</v>
      </c>
      <c r="W114" t="s">
        <v>426</v>
      </c>
      <c r="Y114" t="s">
        <v>427</v>
      </c>
      <c r="Z114" t="s">
        <v>428</v>
      </c>
      <c r="AA114" s="27">
        <f>AA113-2%</f>
        <v>-0.02</v>
      </c>
      <c r="AD114" s="27">
        <f>AD113+10%</f>
        <v>0.1</v>
      </c>
      <c r="AF114" s="27">
        <f>AF113+10%</f>
        <v>0.1</v>
      </c>
      <c r="AJ114" s="27">
        <f>AJ113+5%</f>
        <v>0.05</v>
      </c>
      <c r="AL114" s="28">
        <v>-2.5000000000000001E-2</v>
      </c>
      <c r="AZ114" s="24">
        <f>AZ113+1</f>
        <v>1</v>
      </c>
      <c r="BB114">
        <f>BB113+0.1</f>
        <v>0.25</v>
      </c>
    </row>
    <row r="115" spans="19:59">
      <c r="S115" s="89"/>
      <c r="T115" s="71"/>
      <c r="U115">
        <v>1955</v>
      </c>
      <c r="V115" t="s">
        <v>429</v>
      </c>
      <c r="W115" t="s">
        <v>429</v>
      </c>
      <c r="Y115" t="s">
        <v>430</v>
      </c>
      <c r="Z115" t="s">
        <v>431</v>
      </c>
      <c r="AA115" s="27">
        <f>AA113-2%</f>
        <v>-0.02</v>
      </c>
      <c r="AD115" s="28">
        <f>AD113+2.5%</f>
        <v>2.5000000000000001E-2</v>
      </c>
      <c r="AE115" s="28"/>
      <c r="AF115" s="28">
        <f>AF113+2.5%</f>
        <v>2.5000000000000001E-2</v>
      </c>
      <c r="AG115" s="27"/>
      <c r="AH115" s="27">
        <f>AH113+5%</f>
        <v>0.05</v>
      </c>
      <c r="AV115">
        <f>AV113+0.1</f>
        <v>0.1</v>
      </c>
      <c r="AZ115" s="24">
        <f>AZ113+1</f>
        <v>1</v>
      </c>
      <c r="BB115">
        <f>BB114+0.1</f>
        <v>0.35</v>
      </c>
    </row>
    <row r="116" spans="19:59">
      <c r="S116" s="89"/>
      <c r="T116" s="71"/>
      <c r="U116">
        <v>1965</v>
      </c>
      <c r="V116" t="s">
        <v>432</v>
      </c>
      <c r="W116" t="s">
        <v>432</v>
      </c>
      <c r="Y116" t="s">
        <v>433</v>
      </c>
      <c r="Z116" t="s">
        <v>434</v>
      </c>
      <c r="AA116" s="27">
        <f>AA113-3%</f>
        <v>-0.03</v>
      </c>
      <c r="AD116" s="28">
        <f>AD114+2.5%</f>
        <v>0.125</v>
      </c>
      <c r="AF116" s="28">
        <f>AF114+2.5%</f>
        <v>0.125</v>
      </c>
      <c r="AH116" s="28">
        <f>AH115+2.5%</f>
        <v>7.5000000000000011E-2</v>
      </c>
      <c r="AJ116" s="28">
        <f>AJ114+2.5%</f>
        <v>7.5000000000000011E-2</v>
      </c>
      <c r="AL116" s="28">
        <f>AL114</f>
        <v>-2.5000000000000001E-2</v>
      </c>
      <c r="AV116">
        <f>AV115+0.05</f>
        <v>0.15000000000000002</v>
      </c>
      <c r="AZ116" s="24">
        <f>AZ113+2</f>
        <v>2</v>
      </c>
      <c r="BB116">
        <f>BB115+0.1</f>
        <v>0.44999999999999996</v>
      </c>
    </row>
    <row r="117" spans="19:59">
      <c r="S117" s="89"/>
      <c r="T117" s="71"/>
      <c r="U117">
        <v>1970</v>
      </c>
      <c r="V117" t="s">
        <v>435</v>
      </c>
      <c r="W117" t="s">
        <v>435</v>
      </c>
      <c r="Y117" t="s">
        <v>436</v>
      </c>
      <c r="Z117" t="s">
        <v>437</v>
      </c>
      <c r="AA117" s="27">
        <f>AA113-4%</f>
        <v>-0.04</v>
      </c>
      <c r="AD117" s="28">
        <f>AD116+5%</f>
        <v>0.17499999999999999</v>
      </c>
      <c r="AF117" s="28">
        <f>AF116+5%</f>
        <v>0.17499999999999999</v>
      </c>
      <c r="AH117" s="27">
        <f>AH116+2.5%</f>
        <v>0.1</v>
      </c>
      <c r="AJ117" s="27">
        <f>AJ116+2.5%</f>
        <v>0.1</v>
      </c>
      <c r="AV117">
        <f>AV116+0.05</f>
        <v>0.2</v>
      </c>
      <c r="AZ117" s="24">
        <f>AZ113+3.5</f>
        <v>3.5</v>
      </c>
      <c r="BB117">
        <f>BB116+0.1</f>
        <v>0.54999999999999993</v>
      </c>
      <c r="BF117">
        <v>1</v>
      </c>
    </row>
    <row r="118" spans="19:59">
      <c r="S118" s="89"/>
      <c r="T118" s="71"/>
      <c r="U118">
        <v>1980</v>
      </c>
      <c r="V118" t="s">
        <v>438</v>
      </c>
      <c r="W118" t="s">
        <v>438</v>
      </c>
      <c r="Y118" t="s">
        <v>439</v>
      </c>
      <c r="Z118" t="s">
        <v>440</v>
      </c>
      <c r="AA118" s="27">
        <f>AA117</f>
        <v>-0.04</v>
      </c>
      <c r="AD118" s="27">
        <f>AD117+2.5%</f>
        <v>0.19999999999999998</v>
      </c>
      <c r="AF118" s="27">
        <f>AF117+2.5%</f>
        <v>0.19999999999999998</v>
      </c>
      <c r="AH118" s="28">
        <f>AH117+2.5%</f>
        <v>0.125</v>
      </c>
      <c r="AJ118" s="28">
        <f>AJ117+2.5%</f>
        <v>0.125</v>
      </c>
      <c r="AV118">
        <f>AV117+0.05</f>
        <v>0.25</v>
      </c>
      <c r="AZ118" s="24">
        <f>AZ117+0.75</f>
        <v>4.25</v>
      </c>
      <c r="BB118">
        <f>BB117+0.1</f>
        <v>0.64999999999999991</v>
      </c>
      <c r="BF118">
        <v>1</v>
      </c>
    </row>
    <row r="119" spans="19:59">
      <c r="S119" s="89"/>
      <c r="T119" s="71"/>
      <c r="U119">
        <v>1990</v>
      </c>
      <c r="V119" t="s">
        <v>441</v>
      </c>
      <c r="W119" t="s">
        <v>441</v>
      </c>
      <c r="Y119" t="s">
        <v>442</v>
      </c>
      <c r="Z119" t="s">
        <v>443</v>
      </c>
      <c r="AA119" s="27">
        <f>AA118</f>
        <v>-0.04</v>
      </c>
      <c r="AD119" s="28">
        <f>AD118+2.5%</f>
        <v>0.22499999999999998</v>
      </c>
      <c r="AF119" s="28">
        <f>AF118+2.5%</f>
        <v>0.22499999999999998</v>
      </c>
      <c r="AH119" s="27">
        <f>AH118+2.5%</f>
        <v>0.15</v>
      </c>
      <c r="AJ119" s="27">
        <f>AJ118+2.5%</f>
        <v>0.15</v>
      </c>
      <c r="AV119">
        <f>AV118+0.05</f>
        <v>0.3</v>
      </c>
      <c r="AZ119" s="24">
        <f t="shared" ref="AZ119:AZ120" si="19">AZ118+0.75</f>
        <v>5</v>
      </c>
      <c r="BB119">
        <f>BB118+0.1</f>
        <v>0.74999999999999989</v>
      </c>
      <c r="BF119">
        <v>1</v>
      </c>
    </row>
    <row r="120" spans="19:59">
      <c r="S120" s="89"/>
      <c r="T120" s="71"/>
      <c r="U120">
        <v>2010</v>
      </c>
      <c r="V120" t="s">
        <v>438</v>
      </c>
      <c r="W120" t="s">
        <v>438</v>
      </c>
      <c r="Y120" t="s">
        <v>444</v>
      </c>
      <c r="Z120" t="s">
        <v>445</v>
      </c>
      <c r="AA120" s="27">
        <f>AA119</f>
        <v>-0.04</v>
      </c>
      <c r="AD120" s="27">
        <f>AD119+2.5%</f>
        <v>0.24999999999999997</v>
      </c>
      <c r="AF120" s="27">
        <f>AF119+2.5%</f>
        <v>0.24999999999999997</v>
      </c>
      <c r="AH120" s="28">
        <f>AH119+2.5%</f>
        <v>0.17499999999999999</v>
      </c>
      <c r="AJ120" s="28">
        <f>AJ119+2.5%</f>
        <v>0.17499999999999999</v>
      </c>
      <c r="AV120">
        <f>AV119+0.05</f>
        <v>0.35</v>
      </c>
      <c r="AZ120" s="24">
        <f t="shared" si="19"/>
        <v>5.75</v>
      </c>
      <c r="BB120">
        <f>BB119+0.1</f>
        <v>0.84999999999999987</v>
      </c>
      <c r="BF120">
        <v>1</v>
      </c>
    </row>
    <row r="121" spans="19:59">
      <c r="S121" s="89"/>
    </row>
    <row r="122" spans="19:59">
      <c r="S122" s="89"/>
      <c r="T122" s="71" t="s">
        <v>446</v>
      </c>
      <c r="U122" s="15">
        <v>1965</v>
      </c>
      <c r="V122" s="15" t="s">
        <v>447</v>
      </c>
      <c r="W122" s="15" t="s">
        <v>447</v>
      </c>
      <c r="Y122" s="15" t="s">
        <v>448</v>
      </c>
      <c r="Z122" s="15" t="s">
        <v>449</v>
      </c>
      <c r="AG122" s="15">
        <v>1.5</v>
      </c>
      <c r="AH122" s="26">
        <v>0.03</v>
      </c>
      <c r="AI122" s="15">
        <v>1</v>
      </c>
      <c r="AJ122" s="26">
        <v>0.03</v>
      </c>
      <c r="AQ122" s="15">
        <v>0.5</v>
      </c>
      <c r="AV122" s="15">
        <v>0.05</v>
      </c>
      <c r="AW122" s="15"/>
      <c r="AX122" s="15"/>
      <c r="AY122" s="15"/>
      <c r="AZ122" s="25">
        <v>2</v>
      </c>
      <c r="BB122" s="15">
        <v>0.1</v>
      </c>
    </row>
    <row r="123" spans="19:59">
      <c r="S123" s="89"/>
      <c r="T123" s="71"/>
      <c r="U123">
        <v>1985</v>
      </c>
      <c r="V123" t="s">
        <v>450</v>
      </c>
      <c r="W123" t="s">
        <v>450</v>
      </c>
      <c r="Y123" t="s">
        <v>451</v>
      </c>
      <c r="Z123" t="s">
        <v>452</v>
      </c>
      <c r="AG123">
        <f>AG122*2</f>
        <v>3</v>
      </c>
      <c r="AH123" s="27">
        <f>AH122*2</f>
        <v>0.06</v>
      </c>
      <c r="AI123">
        <f>AI122*2</f>
        <v>2</v>
      </c>
      <c r="AJ123" s="27">
        <f>AJ122*2</f>
        <v>0.06</v>
      </c>
      <c r="AQ123">
        <f>AQ122*2</f>
        <v>1</v>
      </c>
      <c r="AV123">
        <f>AV122*2</f>
        <v>0.1</v>
      </c>
      <c r="AZ123" s="24">
        <f>AZ122+1</f>
        <v>3</v>
      </c>
      <c r="BB123">
        <f>BB122+0.05</f>
        <v>0.15000000000000002</v>
      </c>
    </row>
    <row r="124" spans="19:59">
      <c r="S124" s="89"/>
      <c r="T124" s="71"/>
      <c r="U124">
        <v>2005</v>
      </c>
      <c r="V124" t="s">
        <v>453</v>
      </c>
      <c r="W124" t="s">
        <v>453</v>
      </c>
      <c r="Y124" t="s">
        <v>454</v>
      </c>
      <c r="Z124" t="s">
        <v>455</v>
      </c>
      <c r="AG124">
        <f>AG122*4</f>
        <v>6</v>
      </c>
      <c r="AH124" s="27">
        <f>AH122*4</f>
        <v>0.12</v>
      </c>
      <c r="AI124">
        <f>AI122*4</f>
        <v>4</v>
      </c>
      <c r="AJ124" s="27">
        <f>AJ122*4</f>
        <v>0.12</v>
      </c>
      <c r="AQ124">
        <f>AQ122*3</f>
        <v>1.5</v>
      </c>
      <c r="AV124">
        <f>AV122*4</f>
        <v>0.2</v>
      </c>
      <c r="AZ124" s="24">
        <f>AZ123+1</f>
        <v>4</v>
      </c>
      <c r="BB124">
        <f>BB123+0.05</f>
        <v>0.2</v>
      </c>
    </row>
    <row r="125" spans="19:59">
      <c r="S125" s="89"/>
    </row>
    <row r="126" spans="19:59">
      <c r="S126" s="89"/>
      <c r="T126" s="71" t="s">
        <v>683</v>
      </c>
      <c r="U126" s="15">
        <v>1939</v>
      </c>
      <c r="V126" s="15" t="s">
        <v>684</v>
      </c>
      <c r="W126" s="15" t="s">
        <v>525</v>
      </c>
      <c r="X126" s="15"/>
      <c r="Y126" s="15" t="s">
        <v>685</v>
      </c>
      <c r="Z126" s="15" t="s">
        <v>686</v>
      </c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25">
        <v>0.5</v>
      </c>
      <c r="BA126" s="15"/>
      <c r="BB126" s="15">
        <v>0.15</v>
      </c>
      <c r="BC126" s="15"/>
      <c r="BD126" s="15"/>
      <c r="BE126" s="15"/>
      <c r="BF126" s="15"/>
      <c r="BG126" s="15"/>
    </row>
    <row r="127" spans="19:59">
      <c r="S127" s="89"/>
      <c r="T127" s="71"/>
      <c r="U127">
        <v>2000</v>
      </c>
      <c r="V127" t="s">
        <v>687</v>
      </c>
      <c r="W127" s="1" t="s">
        <v>688</v>
      </c>
      <c r="Y127" t="s">
        <v>689</v>
      </c>
      <c r="Z127" t="s">
        <v>690</v>
      </c>
      <c r="AD127" s="27">
        <v>0.2</v>
      </c>
      <c r="AF127" s="27">
        <v>0.2</v>
      </c>
      <c r="AH127" s="27">
        <v>0.2</v>
      </c>
      <c r="AJ127" s="27">
        <v>0.2</v>
      </c>
      <c r="AU127" s="27">
        <v>-0.1</v>
      </c>
      <c r="AV127">
        <v>0.3</v>
      </c>
      <c r="AZ127" s="24">
        <v>8</v>
      </c>
      <c r="BB127">
        <f>BB126+0.1</f>
        <v>0.25</v>
      </c>
      <c r="BF127">
        <v>1</v>
      </c>
    </row>
    <row r="128" spans="19:59">
      <c r="S128" s="89"/>
    </row>
    <row r="129" spans="15:59">
      <c r="S129" s="89"/>
      <c r="T129" s="71" t="s">
        <v>691</v>
      </c>
      <c r="U129" s="15">
        <v>1939</v>
      </c>
      <c r="V129" s="15" t="s">
        <v>692</v>
      </c>
      <c r="W129" s="15" t="s">
        <v>525</v>
      </c>
      <c r="X129" s="15"/>
      <c r="Y129" s="15" t="s">
        <v>693</v>
      </c>
      <c r="Z129" s="15" t="s">
        <v>694</v>
      </c>
      <c r="AA129" s="15" t="inlineStr">
        <is>
          <t>-4%</t>
        </is>
      </c>
      <c r="AB129" s="15"/>
      <c r="AC129" s="15"/>
      <c r="AD129" s="15" t="inlineStr">
        <is>
          <t>15%</t>
        </is>
      </c>
      <c r="AE129" s="15"/>
      <c r="AF129" s="15" t="inlineStr">
        <is>
          <t>15%</t>
        </is>
      </c>
      <c r="AG129" s="15"/>
      <c r="AH129" s="15" t="inlineStr">
        <is>
          <t>7.5%</t>
        </is>
      </c>
      <c r="AI129" s="15"/>
      <c r="AJ129" s="15" t="inlineStr">
        <is>
          <t>7.5%</t>
        </is>
      </c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 t="inlineStr">
        <is>
          <t>0.15</t>
        </is>
      </c>
      <c r="AW129" s="15"/>
      <c r="AX129" s="15"/>
      <c r="AY129" s="15" t="inlineStr">
        <is>
          <t>7.5%</t>
        </is>
      </c>
      <c r="AZ129" s="25" t="inlineStr">
        <is>
          <t>3.5</t>
        </is>
      </c>
      <c r="BA129" s="15"/>
      <c r="BB129" s="15" t="inlineStr">
        <is>
          <t>0.45</t>
        </is>
      </c>
      <c r="BC129" s="15"/>
      <c r="BD129" s="15"/>
      <c r="BE129" s="15"/>
      <c r="BF129" s="15" t="inlineStr">
        <is>
          <t>1</t>
        </is>
      </c>
      <c r="BG129" s="15"/>
    </row>
    <row r="130" spans="15:59">
      <c r="S130" s="89"/>
      <c r="T130" s="71"/>
      <c r="U130">
        <v>1970</v>
      </c>
      <c r="V130" t="s">
        <v>695</v>
      </c>
      <c r="W130" t="s">
        <v>435</v>
      </c>
      <c r="Y130" t="s">
        <v>696</v>
      </c>
      <c r="Z130" t="s">
        <v>697</v>
      </c>
      <c r="AA130" s="27">
        <f>AA126-4%</f>
        <v>-0.04</v>
      </c>
      <c r="AD130" s="28">
        <v>0.17499999999999999</v>
      </c>
      <c r="AF130" s="28">
        <v>0.17499999999999999</v>
      </c>
      <c r="AH130" s="27">
        <v>0.1</v>
      </c>
      <c r="AJ130" s="27">
        <v>0.1</v>
      </c>
      <c r="AV130">
        <v>0.2</v>
      </c>
      <c r="AY130" s="27">
        <v>0.1</v>
      </c>
      <c r="AZ130" s="24">
        <f>AZ129+4.5</f>
        <v>4.5</v>
      </c>
      <c r="BB130">
        <f>BB129+0.4</f>
        <v>0.55000000000000004</v>
      </c>
      <c r="BF130">
        <v>1</v>
      </c>
    </row>
    <row r="131" spans="15:59">
      <c r="O131" s="1" t="s">
        <v>698</v>
      </c>
      <c r="S131" s="89"/>
      <c r="T131" s="71"/>
      <c r="U131">
        <v>1980</v>
      </c>
      <c r="V131" t="s">
        <v>699</v>
      </c>
      <c r="W131" t="s">
        <v>438</v>
      </c>
      <c r="Y131" t="s">
        <v>700</v>
      </c>
      <c r="Z131" t="s">
        <v>701</v>
      </c>
      <c r="AA131" s="27">
        <f>AA130</f>
        <v>-0.04</v>
      </c>
      <c r="AD131" s="27">
        <f t="shared" ref="AD131:AD134" si="20">AD130+2.5%</f>
        <v>0.19999999999999998</v>
      </c>
      <c r="AF131" s="27">
        <f t="shared" ref="AF131:AF134" si="21">AF130+2.5%</f>
        <v>0.19999999999999998</v>
      </c>
      <c r="AH131" s="28">
        <f t="shared" ref="AH131:AH134" si="22">AH130+2.5%</f>
        <v>0.125</v>
      </c>
      <c r="AJ131" s="28">
        <f t="shared" ref="AJ131:AJ134" si="23">AJ130+2.5%</f>
        <v>0.125</v>
      </c>
      <c r="AV131">
        <f>AV130+0.05</f>
        <v>0.25</v>
      </c>
      <c r="AY131" s="27">
        <f t="shared" ref="AY131:AY134" si="24">AY130+5%</f>
        <v>0.15000000000000002</v>
      </c>
      <c r="AZ131" s="24">
        <f>AZ130+1</f>
        <v>5.5</v>
      </c>
      <c r="BB131">
        <f t="shared" ref="BB131:BB134" si="25">BB130+0.1</f>
        <v>0.65</v>
      </c>
      <c r="BF131">
        <v>1</v>
      </c>
    </row>
    <row r="132" spans="15:59">
      <c r="O132" t="s">
        <v>702</v>
      </c>
      <c r="S132" s="89"/>
      <c r="T132" s="71"/>
      <c r="U132">
        <v>1990</v>
      </c>
      <c r="V132" t="s">
        <v>703</v>
      </c>
      <c r="W132" t="s">
        <v>441</v>
      </c>
      <c r="Y132" t="s">
        <v>704</v>
      </c>
      <c r="Z132" t="s">
        <v>705</v>
      </c>
      <c r="AA132" s="27">
        <f>AA131</f>
        <v>-0.04</v>
      </c>
      <c r="AD132" s="28">
        <f>AD131+2.5%</f>
        <v>0.22499999999999998</v>
      </c>
      <c r="AF132" s="28">
        <f t="shared" si="21"/>
        <v>0.22499999999999998</v>
      </c>
      <c r="AH132" s="27">
        <f t="shared" si="22"/>
        <v>0.15</v>
      </c>
      <c r="AJ132" s="27">
        <f t="shared" si="23"/>
        <v>0.15</v>
      </c>
      <c r="AV132">
        <f>AV131+0.05</f>
        <v>0.3</v>
      </c>
      <c r="AY132" s="27">
        <f t="shared" si="24"/>
        <v>0.2</v>
      </c>
      <c r="AZ132" s="24">
        <f>AZ131+1</f>
        <v>6.5</v>
      </c>
      <c r="BB132">
        <f t="shared" si="25"/>
        <v>0.75</v>
      </c>
      <c r="BF132">
        <v>1</v>
      </c>
    </row>
    <row r="133" spans="15:59">
      <c r="O133" t="s">
        <v>706</v>
      </c>
      <c r="S133" s="89"/>
      <c r="T133" s="71"/>
      <c r="U133">
        <v>2000</v>
      </c>
      <c r="V133" t="s">
        <v>707</v>
      </c>
      <c r="W133" s="1" t="s">
        <v>708</v>
      </c>
      <c r="Y133" t="s">
        <v>709</v>
      </c>
      <c r="Z133" t="s">
        <v>710</v>
      </c>
      <c r="AA133" s="27">
        <f>AA132</f>
        <v>-0.04</v>
      </c>
      <c r="AD133" s="27">
        <f t="shared" si="20"/>
        <v>0.24999999999999997</v>
      </c>
      <c r="AF133" s="27">
        <f t="shared" si="21"/>
        <v>0.24999999999999997</v>
      </c>
      <c r="AH133" s="28">
        <f t="shared" si="22"/>
        <v>0.17499999999999999</v>
      </c>
      <c r="AJ133" s="28">
        <f t="shared" si="23"/>
        <v>0.17499999999999999</v>
      </c>
      <c r="AV133">
        <f>AV132+0.05</f>
        <v>0.35</v>
      </c>
      <c r="AY133" s="27">
        <f t="shared" si="24"/>
        <v>0.25</v>
      </c>
      <c r="AZ133" s="24">
        <f>AZ132+1</f>
        <v>7.5</v>
      </c>
      <c r="BB133">
        <f t="shared" si="25"/>
        <v>0.85</v>
      </c>
      <c r="BF133">
        <v>1</v>
      </c>
    </row>
    <row r="134" spans="15:59">
      <c r="O134" t="s">
        <v>711</v>
      </c>
      <c r="S134" s="89"/>
      <c r="T134" s="71"/>
      <c r="U134">
        <v>2010</v>
      </c>
      <c r="V134" t="s">
        <v>712</v>
      </c>
      <c r="W134" t="s">
        <v>438</v>
      </c>
      <c r="Y134" t="s">
        <v>713</v>
      </c>
      <c r="Z134" t="s">
        <v>714</v>
      </c>
      <c r="AA134" s="27">
        <f>AA133</f>
        <v>-0.04</v>
      </c>
      <c r="AD134" s="28">
        <f t="shared" si="20"/>
        <v>0.27499999999999997</v>
      </c>
      <c r="AF134" s="28">
        <f t="shared" si="21"/>
        <v>0.27499999999999997</v>
      </c>
      <c r="AH134" s="27">
        <f t="shared" si="22"/>
        <v>0.19999999999999998</v>
      </c>
      <c r="AJ134" s="27">
        <f t="shared" si="23"/>
        <v>0.19999999999999998</v>
      </c>
      <c r="AV134">
        <f>AV133+0.05</f>
        <v>0.39999999999999997</v>
      </c>
      <c r="AY134" s="27">
        <f t="shared" si="24"/>
        <v>0.3</v>
      </c>
      <c r="AZ134" s="24">
        <f>AZ133+1</f>
        <v>8.5</v>
      </c>
      <c r="BB134">
        <f t="shared" si="25"/>
        <v>0.95</v>
      </c>
      <c r="BF134">
        <v>1</v>
      </c>
    </row>
    <row r="135" spans="15:59">
      <c r="O135" t="s">
        <v>715</v>
      </c>
      <c r="S135" s="89"/>
    </row>
    <row r="136" spans="15:59">
      <c r="O136" t="s">
        <v>716</v>
      </c>
      <c r="S136" s="89"/>
      <c r="T136" s="71" t="s">
        <v>400</v>
      </c>
      <c r="U136" s="15">
        <v>1955</v>
      </c>
      <c r="V136" s="15" t="s">
        <v>401</v>
      </c>
      <c r="W136" s="15" t="s">
        <v>401</v>
      </c>
      <c r="Y136" s="15" t="s">
        <v>402</v>
      </c>
      <c r="Z136" s="15" t="s">
        <v>403</v>
      </c>
      <c r="AA136" s="26">
        <v>-0.05</v>
      </c>
      <c r="AD136" s="26">
        <v>0.05</v>
      </c>
      <c r="AE136" s="15"/>
      <c r="AF136" s="26">
        <v>0.05</v>
      </c>
      <c r="AG136" s="15"/>
      <c r="AH136" s="26">
        <v>0.05</v>
      </c>
      <c r="AI136" s="15"/>
      <c r="AJ136" s="26">
        <v>0.05</v>
      </c>
      <c r="AR136" s="15"/>
      <c r="AU136" s="26">
        <v>-0.05</v>
      </c>
      <c r="AV136" s="15">
        <v>0.15</v>
      </c>
      <c r="AW136" s="15"/>
      <c r="AX136" s="15"/>
      <c r="AZ136" s="25">
        <v>3</v>
      </c>
      <c r="BB136" s="15">
        <v>0.1</v>
      </c>
    </row>
    <row r="137" spans="15:59">
      <c r="S137" s="89"/>
      <c r="T137" s="71"/>
      <c r="U137">
        <v>1965</v>
      </c>
      <c r="V137" t="s">
        <v>404</v>
      </c>
      <c r="W137" t="s">
        <v>404</v>
      </c>
      <c r="Y137" t="s">
        <v>405</v>
      </c>
      <c r="Z137" s="22" t="s">
        <v>406</v>
      </c>
      <c r="AA137" s="28">
        <f>AA136+2.5%</f>
        <v>-2.5000000000000001E-2</v>
      </c>
      <c r="AD137" s="27">
        <f>AD136*2</f>
        <v>0.1</v>
      </c>
      <c r="AF137" s="27">
        <f>AF136*2</f>
        <v>0.1</v>
      </c>
      <c r="AH137" s="27">
        <f>AH136*2</f>
        <v>0.1</v>
      </c>
      <c r="AJ137" s="27">
        <f>AJ136*2</f>
        <v>0.1</v>
      </c>
      <c r="AU137" s="28">
        <f>AU136-2.5%</f>
        <v>-7.5000000000000011E-2</v>
      </c>
      <c r="AV137">
        <f>AV136+0.1</f>
        <v>0.25</v>
      </c>
      <c r="AZ137" s="24">
        <f>AZ136+0.75</f>
        <v>3.75</v>
      </c>
      <c r="BB137">
        <f t="shared" ref="BB137:BB142" si="26">BB136+0.05</f>
        <v>0.15000000000000002</v>
      </c>
      <c r="BF137">
        <v>1</v>
      </c>
    </row>
    <row r="138" spans="15:59">
      <c r="O138" t="s">
        <v>717</v>
      </c>
      <c r="S138" s="89"/>
      <c r="T138" s="71"/>
      <c r="U138">
        <v>1975</v>
      </c>
      <c r="V138" t="s">
        <v>407</v>
      </c>
      <c r="W138" t="s">
        <v>407</v>
      </c>
      <c r="Y138" t="s">
        <v>408</v>
      </c>
      <c r="Z138" s="22" t="s">
        <v>409</v>
      </c>
      <c r="AA138" s="27">
        <f>AA137+1.5%</f>
        <v>-1.0000000000000002E-2</v>
      </c>
      <c r="AD138" s="27">
        <f>AD136*3</f>
        <v>0.15000000000000002</v>
      </c>
      <c r="AF138" s="27">
        <f>AF136*3</f>
        <v>0.15000000000000002</v>
      </c>
      <c r="AH138" s="27">
        <f>AH136*3</f>
        <v>0.15000000000000002</v>
      </c>
      <c r="AJ138" s="27">
        <f>AJ136*3</f>
        <v>0.15000000000000002</v>
      </c>
      <c r="AU138" s="27">
        <f t="shared" ref="AU138:AU142" si="27">AU137-2.5%</f>
        <v>-0.1</v>
      </c>
      <c r="AV138">
        <f t="shared" ref="AV138:AV142" si="28">AV137+0.1</f>
        <v>0.35</v>
      </c>
      <c r="AZ138" s="24">
        <f t="shared" ref="AZ138:AZ142" si="29">AZ137+0.75</f>
        <v>4.5</v>
      </c>
      <c r="BB138">
        <f t="shared" si="26"/>
        <v>0.2</v>
      </c>
      <c r="BF138">
        <v>2</v>
      </c>
    </row>
    <row r="139" spans="15:59">
      <c r="O139" t="s">
        <v>718</v>
      </c>
      <c r="S139" s="89"/>
      <c r="T139" s="71"/>
      <c r="U139">
        <v>1985</v>
      </c>
      <c r="V139" t="s">
        <v>410</v>
      </c>
      <c r="W139" t="s">
        <v>410</v>
      </c>
      <c r="Y139" t="s">
        <v>411</v>
      </c>
      <c r="Z139" s="22" t="s">
        <v>412</v>
      </c>
      <c r="AA139" s="27">
        <f>AA138</f>
        <v>-1.0000000000000002E-2</v>
      </c>
      <c r="AD139" s="27">
        <f>AD136*4</f>
        <v>0.2</v>
      </c>
      <c r="AF139" s="27">
        <f>AF136*4</f>
        <v>0.2</v>
      </c>
      <c r="AH139" s="27">
        <f>AH136*4</f>
        <v>0.2</v>
      </c>
      <c r="AJ139" s="27">
        <f>AJ136*4</f>
        <v>0.2</v>
      </c>
      <c r="AR139" s="27">
        <f>AR136+10%</f>
        <v>0.1</v>
      </c>
      <c r="AU139" s="28">
        <f t="shared" si="27"/>
        <v>-0.125</v>
      </c>
      <c r="AV139">
        <f t="shared" si="28"/>
        <v>0.44999999999999996</v>
      </c>
      <c r="AZ139" s="24">
        <f t="shared" si="29"/>
        <v>5.25</v>
      </c>
      <c r="BB139">
        <f t="shared" si="26"/>
        <v>0.25</v>
      </c>
      <c r="BF139">
        <v>2</v>
      </c>
    </row>
    <row r="140" spans="15:59">
      <c r="S140" s="89"/>
      <c r="T140" s="71"/>
      <c r="U140">
        <v>1995</v>
      </c>
      <c r="V140" t="s">
        <v>413</v>
      </c>
      <c r="W140" t="s">
        <v>413</v>
      </c>
      <c r="Y140" t="s">
        <v>414</v>
      </c>
      <c r="Z140" s="22" t="s">
        <v>415</v>
      </c>
      <c r="AA140" s="27">
        <f>AA139</f>
        <v>-1.0000000000000002E-2</v>
      </c>
      <c r="AD140" s="27">
        <f>AD136*5</f>
        <v>0.25</v>
      </c>
      <c r="AF140" s="27">
        <f>AF136*5</f>
        <v>0.25</v>
      </c>
      <c r="AH140" s="27">
        <f>AH136*5</f>
        <v>0.25</v>
      </c>
      <c r="AJ140" s="27">
        <f>AJ136*5</f>
        <v>0.25</v>
      </c>
      <c r="AR140" s="27">
        <f>AR139+5%</f>
        <v>0.15000000000000002</v>
      </c>
      <c r="AU140" s="27">
        <f t="shared" si="27"/>
        <v>-0.15</v>
      </c>
      <c r="AV140">
        <f>AV139+0.1</f>
        <v>0.54999999999999993</v>
      </c>
      <c r="AZ140" s="24">
        <f t="shared" si="29"/>
        <v>6</v>
      </c>
      <c r="BB140">
        <f t="shared" si="26"/>
        <v>0.3</v>
      </c>
      <c r="BF140">
        <v>2</v>
      </c>
    </row>
    <row r="141" spans="15:59">
      <c r="S141" s="89"/>
      <c r="T141" s="71"/>
      <c r="U141">
        <v>2005</v>
      </c>
      <c r="V141" t="s">
        <v>416</v>
      </c>
      <c r="W141" t="s">
        <v>416</v>
      </c>
      <c r="Y141" t="s">
        <v>417</v>
      </c>
      <c r="Z141" t="s">
        <v>418</v>
      </c>
      <c r="AA141" s="27">
        <f>AA140</f>
        <v>-1.0000000000000002E-2</v>
      </c>
      <c r="AD141" s="27">
        <f>AD136*6</f>
        <v>0.30000000000000004</v>
      </c>
      <c r="AF141" s="27">
        <f>AF136*6</f>
        <v>0.30000000000000004</v>
      </c>
      <c r="AH141" s="27">
        <f>AH136*6</f>
        <v>0.30000000000000004</v>
      </c>
      <c r="AJ141" s="27">
        <f>AJ136*6</f>
        <v>0.30000000000000004</v>
      </c>
      <c r="AR141" s="27">
        <f>AR140+5%</f>
        <v>0.2</v>
      </c>
      <c r="AU141" s="28">
        <f t="shared" si="27"/>
        <v>-0.17499999999999999</v>
      </c>
      <c r="AV141">
        <f t="shared" si="28"/>
        <v>0.64999999999999991</v>
      </c>
      <c r="AZ141" s="24">
        <f t="shared" si="29"/>
        <v>6.75</v>
      </c>
      <c r="BB141">
        <f t="shared" si="26"/>
        <v>0.35</v>
      </c>
      <c r="BF141">
        <v>2</v>
      </c>
    </row>
    <row r="142" spans="15:59">
      <c r="S142" s="89"/>
      <c r="T142" s="71"/>
      <c r="U142">
        <v>2015</v>
      </c>
      <c r="V142" t="s">
        <v>419</v>
      </c>
      <c r="W142" t="s">
        <v>419</v>
      </c>
      <c r="Y142" t="s">
        <v>420</v>
      </c>
      <c r="Z142" s="22" t="s">
        <v>421</v>
      </c>
      <c r="AA142" s="27">
        <f>AA141</f>
        <v>-1.0000000000000002E-2</v>
      </c>
      <c r="AD142" s="27">
        <f>AD136*7</f>
        <v>0.35000000000000003</v>
      </c>
      <c r="AF142" s="27">
        <f>AF136*7</f>
        <v>0.35000000000000003</v>
      </c>
      <c r="AH142" s="27">
        <f>AH136*7</f>
        <v>0.35000000000000003</v>
      </c>
      <c r="AJ142" s="27">
        <f>AJ136*7</f>
        <v>0.35000000000000003</v>
      </c>
      <c r="AR142" s="27">
        <f>AR141+5%</f>
        <v>0.25</v>
      </c>
      <c r="AU142" s="27">
        <f t="shared" si="27"/>
        <v>-0.19999999999999998</v>
      </c>
      <c r="AV142">
        <f t="shared" si="28"/>
        <v>0.74999999999999989</v>
      </c>
      <c r="AZ142" s="24">
        <f t="shared" si="29"/>
        <v>7.5</v>
      </c>
      <c r="BB142">
        <f t="shared" si="26"/>
        <v>0.39999999999999997</v>
      </c>
      <c r="BF142">
        <v>2</v>
      </c>
    </row>
    <row r="143" spans="15:59">
      <c r="S143" s="89"/>
    </row>
    <row r="144" spans="15:59">
      <c r="S144" s="89"/>
      <c r="T144" s="92" t="s">
        <v>719</v>
      </c>
      <c r="U144" s="15">
        <v>1985</v>
      </c>
      <c r="V144" s="15" t="s">
        <v>720</v>
      </c>
      <c r="W144" s="15" t="s">
        <v>410</v>
      </c>
      <c r="X144" s="15"/>
      <c r="Y144" s="15" t="s">
        <v>721</v>
      </c>
      <c r="Z144" s="15" t="s">
        <v>722</v>
      </c>
      <c r="AA144" s="26">
        <v>-0.01</v>
      </c>
      <c r="AB144" s="15"/>
      <c r="AC144" s="15"/>
      <c r="AD144" s="26">
        <v>0.25</v>
      </c>
      <c r="AE144" s="15"/>
      <c r="AF144" s="26">
        <v>0.25</v>
      </c>
      <c r="AG144" s="15"/>
      <c r="AH144" s="26">
        <v>0.25</v>
      </c>
      <c r="AI144" s="15"/>
      <c r="AJ144" s="26">
        <v>0.25</v>
      </c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39">
        <v>-0.17499999999999999</v>
      </c>
      <c r="AV144" s="15">
        <v>0.45</v>
      </c>
      <c r="AW144" s="15"/>
      <c r="AX144" s="15"/>
      <c r="AY144" s="15"/>
      <c r="AZ144" s="25">
        <v>5.25</v>
      </c>
      <c r="BA144" s="15"/>
      <c r="BB144" s="51">
        <v>0.25</v>
      </c>
      <c r="BC144" s="15"/>
      <c r="BD144" s="15"/>
      <c r="BE144" s="15"/>
      <c r="BF144" s="15">
        <v>2</v>
      </c>
      <c r="BG144" s="15"/>
    </row>
    <row r="145" spans="19:59">
      <c r="S145" s="89"/>
      <c r="T145" s="92"/>
      <c r="U145">
        <v>1995</v>
      </c>
      <c r="V145" t="s">
        <v>723</v>
      </c>
      <c r="W145" t="s">
        <v>413</v>
      </c>
      <c r="Y145" t="s">
        <v>724</v>
      </c>
      <c r="Z145" s="22" t="s">
        <v>725</v>
      </c>
      <c r="AA145" s="27">
        <f>AA144</f>
        <v>-0.01</v>
      </c>
      <c r="AD145" s="27">
        <f>AD144+5%</f>
        <v>0.3</v>
      </c>
      <c r="AF145" s="27">
        <f>AF144+5%</f>
        <v>0.3</v>
      </c>
      <c r="AH145" s="27">
        <f>AH144+5%</f>
        <v>0.3</v>
      </c>
      <c r="AJ145" s="27">
        <f>AJ144+5%</f>
        <v>0.3</v>
      </c>
      <c r="AU145" s="27">
        <f>AU144-2.5%</f>
        <v>-0.19999999999999998</v>
      </c>
      <c r="AV145">
        <f>AV144+0.1</f>
        <v>0.55000000000000004</v>
      </c>
      <c r="AZ145" s="24">
        <f>AZ144+0.75</f>
        <v>6</v>
      </c>
      <c r="BB145">
        <f t="shared" ref="BB145:BB147" si="30">BB144+0.05</f>
        <v>0.3</v>
      </c>
      <c r="BF145">
        <v>2</v>
      </c>
    </row>
    <row r="146" spans="19:59">
      <c r="S146" s="89"/>
      <c r="T146" s="92"/>
      <c r="U146">
        <v>2005</v>
      </c>
      <c r="V146" t="s">
        <v>726</v>
      </c>
      <c r="W146" t="s">
        <v>416</v>
      </c>
      <c r="Y146" t="s">
        <v>727</v>
      </c>
      <c r="Z146" s="22" t="s">
        <v>728</v>
      </c>
      <c r="AA146" s="27">
        <f t="shared" ref="AA146:AA147" si="31">AA145</f>
        <v>-0.01</v>
      </c>
      <c r="AD146" s="27">
        <f>AD145+5%</f>
        <v>0.35</v>
      </c>
      <c r="AF146" s="27">
        <f>AF145+5%</f>
        <v>0.35</v>
      </c>
      <c r="AH146" s="27">
        <f>AH145+5%</f>
        <v>0.35</v>
      </c>
      <c r="AJ146" s="27">
        <f>AJ145+5%</f>
        <v>0.35</v>
      </c>
      <c r="AU146" s="28">
        <f t="shared" ref="AU146:AU147" si="32">AU145-2.5%</f>
        <v>-0.22499999999999998</v>
      </c>
      <c r="AV146">
        <f t="shared" ref="AV146:AV147" si="33">AV145+0.1</f>
        <v>0.65</v>
      </c>
      <c r="AZ146" s="24">
        <f t="shared" ref="AZ146:AZ147" si="34">AZ145+0.75</f>
        <v>6.75</v>
      </c>
      <c r="BB146">
        <f t="shared" si="30"/>
        <v>0.35</v>
      </c>
      <c r="BF146">
        <v>2</v>
      </c>
    </row>
    <row r="147" spans="19:59">
      <c r="S147" s="89"/>
      <c r="T147" s="92"/>
      <c r="U147">
        <v>2015</v>
      </c>
      <c r="V147" t="s">
        <v>729</v>
      </c>
      <c r="W147" t="s">
        <v>419</v>
      </c>
      <c r="Y147" t="s">
        <v>730</v>
      </c>
      <c r="Z147" s="22" t="s">
        <v>731</v>
      </c>
      <c r="AA147" s="27">
        <f t="shared" si="31"/>
        <v>-0.01</v>
      </c>
      <c r="AD147" s="27">
        <f>AD146+5%</f>
        <v>0.39999999999999997</v>
      </c>
      <c r="AF147" s="27">
        <f>AF146+5%</f>
        <v>0.39999999999999997</v>
      </c>
      <c r="AH147" s="27">
        <f>AH146+5%</f>
        <v>0.39999999999999997</v>
      </c>
      <c r="AJ147" s="27">
        <f>AJ146+5%</f>
        <v>0.39999999999999997</v>
      </c>
      <c r="AU147" s="27">
        <f t="shared" si="32"/>
        <v>-0.24999999999999997</v>
      </c>
      <c r="AV147">
        <f t="shared" si="33"/>
        <v>0.75</v>
      </c>
      <c r="AZ147" s="24">
        <f t="shared" si="34"/>
        <v>7.5</v>
      </c>
      <c r="BB147">
        <f t="shared" si="30"/>
        <v>0.39999999999999997</v>
      </c>
      <c r="BF147">
        <v>2</v>
      </c>
    </row>
    <row r="148" spans="19:59">
      <c r="S148" s="89"/>
      <c r="T148" s="66"/>
    </row>
    <row r="149" spans="19:59">
      <c r="S149" s="89"/>
      <c r="T149" s="71" t="s">
        <v>732</v>
      </c>
      <c r="U149" s="15">
        <v>1960</v>
      </c>
      <c r="V149" s="15" t="s">
        <v>733</v>
      </c>
      <c r="W149" s="15" t="s">
        <v>734</v>
      </c>
      <c r="X149" s="15"/>
      <c r="Y149" s="15" t="s">
        <v>735</v>
      </c>
      <c r="Z149" s="15" t="s">
        <v>736</v>
      </c>
      <c r="AA149" s="26">
        <v>-0.05</v>
      </c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26">
        <v>-0.05</v>
      </c>
      <c r="AV149" s="15">
        <v>1</v>
      </c>
      <c r="AW149" s="31" t="s">
        <v>737</v>
      </c>
      <c r="AX149" s="15"/>
      <c r="AY149" s="26">
        <v>0.2</v>
      </c>
      <c r="AZ149" s="25">
        <v>4</v>
      </c>
      <c r="BA149" s="15"/>
      <c r="BB149" s="15">
        <v>0.1</v>
      </c>
      <c r="BC149" s="15"/>
      <c r="BD149" s="15"/>
      <c r="BE149" s="15"/>
      <c r="BF149" s="15">
        <v>1</v>
      </c>
      <c r="BG149" s="15"/>
    </row>
    <row r="150" spans="19:59">
      <c r="S150" s="89"/>
      <c r="T150" s="71"/>
      <c r="U150">
        <v>1970</v>
      </c>
      <c r="V150" t="s">
        <v>738</v>
      </c>
      <c r="W150" t="s">
        <v>739</v>
      </c>
      <c r="Y150" t="s">
        <v>740</v>
      </c>
      <c r="Z150" t="s">
        <v>741</v>
      </c>
      <c r="AA150" s="27">
        <f>AA149</f>
        <v>-0.05</v>
      </c>
      <c r="AU150" s="28">
        <f>AU149-2.5%</f>
        <v>-7.5000000000000011E-2</v>
      </c>
      <c r="AV150">
        <f>AV149+0.2</f>
        <v>1.2</v>
      </c>
      <c r="AY150" s="27">
        <f>AY149+5%</f>
        <v>0.25</v>
      </c>
      <c r="AZ150" s="24">
        <f>AZ149+0.75</f>
        <v>4.75</v>
      </c>
      <c r="BB150">
        <f t="shared" ref="BB150:BB155" si="35">BB149+0.05</f>
        <v>0.15000000000000002</v>
      </c>
      <c r="BF150">
        <v>1</v>
      </c>
    </row>
    <row r="151" spans="19:59">
      <c r="S151" s="89"/>
      <c r="T151" s="71"/>
      <c r="U151">
        <v>1980</v>
      </c>
      <c r="V151" t="s">
        <v>742</v>
      </c>
      <c r="W151" t="s">
        <v>743</v>
      </c>
      <c r="Y151" t="s">
        <v>744</v>
      </c>
      <c r="Z151" t="s">
        <v>745</v>
      </c>
      <c r="AA151" s="27">
        <f t="shared" ref="AA151:AA155" si="36">AA150</f>
        <v>-0.05</v>
      </c>
      <c r="AU151" s="27">
        <f t="shared" ref="AU151:AU155" si="37">AU150-2.5%</f>
        <v>-0.1</v>
      </c>
      <c r="AV151">
        <f t="shared" ref="AV151:AV155" si="38">AV150+0.2</f>
        <v>1.4</v>
      </c>
      <c r="AY151" s="27">
        <f t="shared" ref="AY151:AY155" si="39">AY150+5%</f>
        <v>0.3</v>
      </c>
      <c r="AZ151" s="24">
        <f t="shared" ref="AZ151:AZ155" si="40">AZ150+0.75</f>
        <v>5.5</v>
      </c>
      <c r="BB151">
        <f t="shared" si="35"/>
        <v>0.2</v>
      </c>
      <c r="BF151">
        <v>1</v>
      </c>
    </row>
    <row r="152" spans="19:59">
      <c r="S152" s="89"/>
      <c r="T152" s="71"/>
      <c r="U152">
        <v>1990</v>
      </c>
      <c r="V152" t="s">
        <v>746</v>
      </c>
      <c r="W152" t="s">
        <v>747</v>
      </c>
      <c r="Y152" t="s">
        <v>748</v>
      </c>
      <c r="Z152" t="s">
        <v>749</v>
      </c>
      <c r="AA152" s="27">
        <f t="shared" si="36"/>
        <v>-0.05</v>
      </c>
      <c r="AU152" s="28">
        <f t="shared" si="37"/>
        <v>-0.125</v>
      </c>
      <c r="AV152">
        <f t="shared" si="38"/>
        <v>1.5999999999999999</v>
      </c>
      <c r="AY152" s="27">
        <f t="shared" si="39"/>
        <v>0.35</v>
      </c>
      <c r="AZ152" s="24">
        <f t="shared" si="40"/>
        <v>6.25</v>
      </c>
      <c r="BB152">
        <f t="shared" si="35"/>
        <v>0.25</v>
      </c>
      <c r="BF152">
        <v>2</v>
      </c>
    </row>
    <row r="153" spans="19:59">
      <c r="S153" s="89"/>
      <c r="T153" s="71"/>
      <c r="U153">
        <v>2000</v>
      </c>
      <c r="V153" t="s">
        <v>750</v>
      </c>
      <c r="W153" t="s">
        <v>751</v>
      </c>
      <c r="Y153" t="s">
        <v>752</v>
      </c>
      <c r="Z153" t="s">
        <v>753</v>
      </c>
      <c r="AA153" s="27">
        <f t="shared" si="36"/>
        <v>-0.05</v>
      </c>
      <c r="AU153" s="27">
        <f t="shared" si="37"/>
        <v>-0.15</v>
      </c>
      <c r="AV153">
        <f t="shared" si="38"/>
        <v>1.7999999999999998</v>
      </c>
      <c r="AY153" s="27">
        <f t="shared" si="39"/>
        <v>0.39999999999999997</v>
      </c>
      <c r="AZ153" s="24">
        <f t="shared" si="40"/>
        <v>7</v>
      </c>
      <c r="BB153">
        <f t="shared" si="35"/>
        <v>0.3</v>
      </c>
      <c r="BF153">
        <v>2</v>
      </c>
    </row>
    <row r="154" spans="19:59">
      <c r="S154" s="89"/>
      <c r="T154" s="71"/>
      <c r="U154">
        <v>2010</v>
      </c>
      <c r="V154" t="s">
        <v>754</v>
      </c>
      <c r="W154" t="s">
        <v>755</v>
      </c>
      <c r="Y154" t="s">
        <v>756</v>
      </c>
      <c r="Z154" t="s">
        <v>757</v>
      </c>
      <c r="AA154" s="27">
        <f t="shared" si="36"/>
        <v>-0.05</v>
      </c>
      <c r="AU154" s="28">
        <f t="shared" si="37"/>
        <v>-0.17499999999999999</v>
      </c>
      <c r="AV154">
        <f t="shared" si="38"/>
        <v>1.9999999999999998</v>
      </c>
      <c r="AY154" s="27">
        <f t="shared" si="39"/>
        <v>0.44999999999999996</v>
      </c>
      <c r="AZ154" s="24">
        <f t="shared" si="40"/>
        <v>7.75</v>
      </c>
      <c r="BB154">
        <f t="shared" si="35"/>
        <v>0.35</v>
      </c>
      <c r="BF154">
        <v>2</v>
      </c>
    </row>
    <row r="155" spans="19:59">
      <c r="S155" s="89"/>
      <c r="T155" s="71"/>
      <c r="U155">
        <v>2020</v>
      </c>
      <c r="V155" t="s">
        <v>758</v>
      </c>
      <c r="W155" t="s">
        <v>759</v>
      </c>
      <c r="Y155" t="s">
        <v>760</v>
      </c>
      <c r="Z155" t="s">
        <v>761</v>
      </c>
      <c r="AA155" s="27">
        <f t="shared" si="36"/>
        <v>-0.05</v>
      </c>
      <c r="AU155" s="27">
        <f t="shared" si="37"/>
        <v>-0.19999999999999998</v>
      </c>
      <c r="AV155">
        <f t="shared" si="38"/>
        <v>2.1999999999999997</v>
      </c>
      <c r="AY155" s="27">
        <f t="shared" si="39"/>
        <v>0.49999999999999994</v>
      </c>
      <c r="AZ155" s="24">
        <f t="shared" si="40"/>
        <v>8.5</v>
      </c>
      <c r="BB155">
        <f t="shared" si="35"/>
        <v>0.39999999999999997</v>
      </c>
      <c r="BF155">
        <v>2</v>
      </c>
    </row>
    <row r="158" spans="19:59">
      <c r="S158" s="77" t="s">
        <v>471</v>
      </c>
      <c r="T158" s="77" t="s">
        <v>2</v>
      </c>
      <c r="U158" s="77" t="s">
        <v>3</v>
      </c>
      <c r="V158" s="77" t="s">
        <v>472</v>
      </c>
      <c r="W158" s="77" t="s">
        <v>473</v>
      </c>
      <c r="X158" s="86" t="s">
        <v>240</v>
      </c>
      <c r="Y158" s="87"/>
      <c r="Z158" s="77" t="s">
        <v>474</v>
      </c>
      <c r="AA158" s="79" t="s">
        <v>121</v>
      </c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  <c r="BB158" s="81"/>
      <c r="BC158" s="82" t="s">
        <v>241</v>
      </c>
      <c r="BD158" s="83"/>
      <c r="BE158" s="83"/>
      <c r="BF158" s="83"/>
      <c r="BG158" s="84"/>
    </row>
    <row r="159" spans="19:59">
      <c r="S159" s="78"/>
      <c r="T159" s="78"/>
      <c r="U159" s="78"/>
      <c r="V159" s="78"/>
      <c r="W159" s="78"/>
      <c r="X159" s="68" t="s">
        <v>477</v>
      </c>
      <c r="Y159" s="68" t="s">
        <v>243</v>
      </c>
      <c r="Z159" s="78"/>
      <c r="AA159" s="46" t="s">
        <v>244</v>
      </c>
      <c r="AB159" s="46" t="s">
        <v>245</v>
      </c>
      <c r="AC159" s="46" t="s">
        <v>124</v>
      </c>
      <c r="AD159" s="46" t="s">
        <v>246</v>
      </c>
      <c r="AE159" s="46" t="s">
        <v>125</v>
      </c>
      <c r="AF159" s="46" t="s">
        <v>247</v>
      </c>
      <c r="AG159" s="46" t="s">
        <v>248</v>
      </c>
      <c r="AH159" s="46" t="s">
        <v>249</v>
      </c>
      <c r="AI159" s="46" t="s">
        <v>250</v>
      </c>
      <c r="AJ159" s="46" t="s">
        <v>251</v>
      </c>
      <c r="AK159" s="46" t="s">
        <v>8</v>
      </c>
      <c r="AL159" s="46" t="s">
        <v>253</v>
      </c>
      <c r="AM159" s="46" t="s">
        <v>126</v>
      </c>
      <c r="AN159" s="46" t="s">
        <v>478</v>
      </c>
      <c r="AO159" s="46" t="s">
        <v>127</v>
      </c>
      <c r="AP159" s="46" t="s">
        <v>252</v>
      </c>
      <c r="AQ159" s="46" t="s">
        <v>112</v>
      </c>
      <c r="AR159" s="46" t="s">
        <v>343</v>
      </c>
      <c r="AS159" s="53" t="s">
        <v>479</v>
      </c>
      <c r="AT159" s="46" t="s">
        <v>254</v>
      </c>
      <c r="AU159" s="46" t="s">
        <v>255</v>
      </c>
      <c r="AV159" s="46" t="s">
        <v>256</v>
      </c>
      <c r="AW159" s="46" t="s">
        <v>257</v>
      </c>
      <c r="AX159" s="46" t="s">
        <v>480</v>
      </c>
      <c r="AY159" s="46" t="s">
        <v>481</v>
      </c>
      <c r="AZ159" s="47" t="s">
        <v>9</v>
      </c>
      <c r="BA159" s="46" t="s">
        <v>258</v>
      </c>
      <c r="BB159" s="46" t="s">
        <v>259</v>
      </c>
      <c r="BC159" s="46" t="s">
        <v>260</v>
      </c>
      <c r="BD159" s="46" t="s">
        <v>261</v>
      </c>
      <c r="BE159" s="46" t="s">
        <v>262</v>
      </c>
      <c r="BF159" s="46" t="s">
        <v>263</v>
      </c>
      <c r="BG159" s="46" t="s">
        <v>264</v>
      </c>
    </row>
    <row r="160" spans="19:59" ht="15" customHeight="1">
      <c r="S160" s="89" t="s">
        <v>711</v>
      </c>
      <c r="T160" s="90" t="s">
        <v>762</v>
      </c>
      <c r="U160" s="15">
        <v>1939</v>
      </c>
      <c r="V160" s="15" t="s">
        <v>763</v>
      </c>
      <c r="W160" s="15" t="s">
        <v>764</v>
      </c>
      <c r="X160" s="15"/>
      <c r="Y160" s="15" t="s">
        <v>765</v>
      </c>
      <c r="Z160" s="15" t="s">
        <v>766</v>
      </c>
      <c r="AA160" s="26">
        <v>0.1</v>
      </c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>
        <v>2</v>
      </c>
      <c r="AW160" s="15"/>
      <c r="AX160" s="15"/>
      <c r="AY160" s="15"/>
      <c r="AZ160" s="25">
        <v>2</v>
      </c>
      <c r="BA160" s="15"/>
      <c r="BB160" s="15">
        <v>0.2</v>
      </c>
      <c r="BC160" s="15"/>
      <c r="BD160" s="15">
        <v>1</v>
      </c>
      <c r="BE160" s="15"/>
      <c r="BF160" s="15"/>
      <c r="BG160" s="15"/>
    </row>
    <row r="161" spans="19:59">
      <c r="S161" s="89"/>
      <c r="T161" s="90"/>
      <c r="U161">
        <v>1950</v>
      </c>
      <c r="V161" t="s">
        <v>767</v>
      </c>
      <c r="W161" t="s">
        <v>768</v>
      </c>
      <c r="Y161" t="s">
        <v>769</v>
      </c>
      <c r="Z161" t="s">
        <v>770</v>
      </c>
      <c r="AA161" s="28">
        <f>AA160+2.5%</f>
        <v>0.125</v>
      </c>
      <c r="AP161" s="27">
        <f>AP160+2%</f>
        <v>0.02</v>
      </c>
      <c r="AV161">
        <f t="shared" ref="AV161:AV166" si="41">AV160-0.1</f>
        <v>1.9</v>
      </c>
      <c r="AW161" s="27">
        <f>AW160-2%</f>
        <v>-0.02</v>
      </c>
      <c r="AZ161" s="24">
        <f>AZ160+0.3</f>
        <v>2.2999999999999998</v>
      </c>
      <c r="BB161">
        <f>BB160+0.05</f>
        <v>0.25</v>
      </c>
      <c r="BD161">
        <v>1</v>
      </c>
    </row>
    <row r="162" spans="19:59">
      <c r="S162" s="89"/>
      <c r="T162" s="90"/>
      <c r="U162">
        <v>1960</v>
      </c>
      <c r="V162" t="s">
        <v>771</v>
      </c>
      <c r="W162" t="s">
        <v>772</v>
      </c>
      <c r="Y162" t="s">
        <v>773</v>
      </c>
      <c r="Z162" t="s">
        <v>774</v>
      </c>
      <c r="AA162" s="27">
        <f t="shared" ref="AA162:AA166" si="42">AA161+2.5%</f>
        <v>0.15</v>
      </c>
      <c r="AP162" s="27">
        <f t="shared" ref="AP162:AP166" si="43">AP161+2%</f>
        <v>0.04</v>
      </c>
      <c r="AV162">
        <f t="shared" si="41"/>
        <v>1.7999999999999998</v>
      </c>
      <c r="AW162" s="27">
        <f t="shared" ref="AW162:AW166" si="44">AW161-2%</f>
        <v>-0.04</v>
      </c>
      <c r="AZ162" s="24">
        <f>AZ161+0.3</f>
        <v>2.5999999999999996</v>
      </c>
      <c r="BB162">
        <f t="shared" ref="BB162:BB165" si="45">BB161+0.05</f>
        <v>0.3</v>
      </c>
      <c r="BD162">
        <v>1</v>
      </c>
    </row>
    <row r="163" spans="19:59">
      <c r="S163" s="89"/>
      <c r="T163" s="90"/>
      <c r="U163">
        <v>1970</v>
      </c>
      <c r="V163" t="s">
        <v>775</v>
      </c>
      <c r="W163" t="s">
        <v>776</v>
      </c>
      <c r="Y163" t="s">
        <v>777</v>
      </c>
      <c r="Z163" t="s">
        <v>778</v>
      </c>
      <c r="AA163" s="28">
        <f t="shared" si="42"/>
        <v>0.17499999999999999</v>
      </c>
      <c r="AP163" s="27">
        <f t="shared" si="43"/>
        <v>0.06</v>
      </c>
      <c r="AV163">
        <f t="shared" si="41"/>
        <v>1.6999999999999997</v>
      </c>
      <c r="AW163" s="27">
        <f t="shared" si="44"/>
        <v>-0.06</v>
      </c>
      <c r="AZ163" s="24">
        <f t="shared" ref="AZ162:AZ166" si="46">AZ162+0.3</f>
        <v>2.8999999999999995</v>
      </c>
      <c r="BB163">
        <f t="shared" si="45"/>
        <v>0.35</v>
      </c>
      <c r="BD163">
        <v>1</v>
      </c>
    </row>
    <row r="164" spans="19:59">
      <c r="S164" s="89"/>
      <c r="T164" s="90"/>
      <c r="U164">
        <v>1980</v>
      </c>
      <c r="V164" t="s">
        <v>779</v>
      </c>
      <c r="W164" t="s">
        <v>780</v>
      </c>
      <c r="Y164" t="s">
        <v>781</v>
      </c>
      <c r="Z164" t="s">
        <v>782</v>
      </c>
      <c r="AA164" s="27">
        <f t="shared" si="42"/>
        <v>0.19999999999999998</v>
      </c>
      <c r="AP164" s="27">
        <f t="shared" si="43"/>
        <v>0.08</v>
      </c>
      <c r="AV164">
        <f t="shared" si="41"/>
        <v>1.5999999999999996</v>
      </c>
      <c r="AW164" s="27">
        <f t="shared" si="44"/>
        <v>-0.08</v>
      </c>
      <c r="AZ164" s="24">
        <f t="shared" si="46"/>
        <v>3.1999999999999993</v>
      </c>
      <c r="BB164">
        <f t="shared" si="45"/>
        <v>0.39999999999999997</v>
      </c>
      <c r="BD164">
        <v>2</v>
      </c>
    </row>
    <row r="165" spans="19:59">
      <c r="S165" s="89"/>
      <c r="T165" s="90"/>
      <c r="U165">
        <v>2000</v>
      </c>
      <c r="V165" t="s">
        <v>783</v>
      </c>
      <c r="W165" t="s">
        <v>784</v>
      </c>
      <c r="Y165" t="s">
        <v>785</v>
      </c>
      <c r="Z165" t="s">
        <v>786</v>
      </c>
      <c r="AA165" s="28">
        <f t="shared" si="42"/>
        <v>0.22499999999999998</v>
      </c>
      <c r="AP165" s="27">
        <f t="shared" si="43"/>
        <v>0.1</v>
      </c>
      <c r="AV165">
        <f t="shared" si="41"/>
        <v>1.4999999999999996</v>
      </c>
      <c r="AW165" s="27">
        <f t="shared" si="44"/>
        <v>-0.1</v>
      </c>
      <c r="AZ165" s="24">
        <f t="shared" si="46"/>
        <v>3.4999999999999991</v>
      </c>
      <c r="BB165">
        <f t="shared" si="45"/>
        <v>0.44999999999999996</v>
      </c>
      <c r="BD165">
        <v>2</v>
      </c>
      <c r="BE165">
        <v>1</v>
      </c>
    </row>
    <row r="166" spans="19:59">
      <c r="S166" s="89"/>
      <c r="T166" s="90"/>
      <c r="U166">
        <v>2020</v>
      </c>
      <c r="V166" t="s">
        <v>787</v>
      </c>
      <c r="W166" t="s">
        <v>788</v>
      </c>
      <c r="Y166" t="s">
        <v>789</v>
      </c>
      <c r="Z166" t="s">
        <v>790</v>
      </c>
      <c r="AA166" s="27">
        <f t="shared" si="42"/>
        <v>0.24999999999999997</v>
      </c>
      <c r="AG166">
        <v>6</v>
      </c>
      <c r="AH166" s="27">
        <v>0.1</v>
      </c>
      <c r="AI166">
        <v>6</v>
      </c>
      <c r="AJ166" s="27">
        <v>0.1</v>
      </c>
      <c r="AO166">
        <v>1</v>
      </c>
      <c r="AP166" s="27">
        <f t="shared" si="43"/>
        <v>0.12000000000000001</v>
      </c>
      <c r="AV166">
        <f t="shared" si="41"/>
        <v>1.3999999999999995</v>
      </c>
      <c r="AW166" s="27">
        <f t="shared" si="44"/>
        <v>-0.12000000000000001</v>
      </c>
      <c r="AZ166" s="24">
        <f t="shared" si="46"/>
        <v>3.7999999999999989</v>
      </c>
      <c r="BA166" s="27">
        <v>0.05</v>
      </c>
      <c r="BB166">
        <f>BB165+0.35</f>
        <v>0.79999999999999993</v>
      </c>
      <c r="BD166">
        <v>2</v>
      </c>
      <c r="BE166">
        <v>3</v>
      </c>
      <c r="BF166">
        <v>1</v>
      </c>
    </row>
    <row r="167" spans="19:59">
      <c r="S167" s="89"/>
      <c r="T167" s="56"/>
    </row>
    <row r="168" spans="19:59">
      <c r="S168" s="89"/>
      <c r="T168" s="89" t="s">
        <v>791</v>
      </c>
      <c r="U168" s="15">
        <v>1939</v>
      </c>
      <c r="V168" s="15" t="s">
        <v>792</v>
      </c>
      <c r="W168" s="15" t="s">
        <v>764</v>
      </c>
      <c r="X168" s="15"/>
      <c r="Y168" s="15" t="s">
        <v>765</v>
      </c>
      <c r="Z168" s="15" t="s">
        <v>793</v>
      </c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>
        <v>1</v>
      </c>
      <c r="AP168" s="26">
        <v>0.05</v>
      </c>
      <c r="AQ168" s="15"/>
      <c r="AR168" s="15"/>
      <c r="AS168" s="15"/>
      <c r="AT168" s="15"/>
      <c r="AU168" s="15"/>
      <c r="AV168" s="15">
        <v>2.4</v>
      </c>
      <c r="AW168" s="15"/>
      <c r="AX168" s="15"/>
      <c r="AY168" s="15"/>
      <c r="AZ168" s="25">
        <v>1</v>
      </c>
      <c r="BA168" s="15"/>
      <c r="BB168" s="15">
        <v>0.2</v>
      </c>
      <c r="BC168" s="15"/>
      <c r="BD168" s="15"/>
      <c r="BE168" s="15"/>
      <c r="BF168" s="15"/>
      <c r="BG168" s="15"/>
    </row>
    <row r="169" spans="19:59">
      <c r="S169" s="89"/>
      <c r="T169" s="89"/>
      <c r="U169">
        <v>1950</v>
      </c>
      <c r="V169" t="s">
        <v>794</v>
      </c>
      <c r="W169" t="s">
        <v>768</v>
      </c>
      <c r="Y169" t="s">
        <v>769</v>
      </c>
      <c r="Z169" t="s">
        <v>795</v>
      </c>
      <c r="AA169" s="28">
        <f t="shared" ref="AA169:AA171" si="47">AA168+2.5%</f>
        <v>2.5000000000000001E-2</v>
      </c>
      <c r="AO169">
        <v>1</v>
      </c>
      <c r="AP169" s="27">
        <f t="shared" ref="AP169:AP171" si="48">AP168+2%</f>
        <v>7.0000000000000007E-2</v>
      </c>
      <c r="AV169">
        <f>AV168-0.1</f>
        <v>2.2999999999999998</v>
      </c>
      <c r="AW169" s="27">
        <f t="shared" ref="AW169:AW171" si="49">AW168-2%</f>
        <v>-0.02</v>
      </c>
      <c r="AZ169" s="24">
        <f>AZ168+0.3</f>
        <v>1.3</v>
      </c>
      <c r="BB169">
        <f>BB168+0.05</f>
        <v>0.25</v>
      </c>
    </row>
    <row r="170" spans="19:59">
      <c r="S170" s="89"/>
      <c r="T170" s="89"/>
      <c r="U170">
        <v>1960</v>
      </c>
      <c r="V170" t="s">
        <v>796</v>
      </c>
      <c r="W170" t="s">
        <v>772</v>
      </c>
      <c r="Y170" t="s">
        <v>773</v>
      </c>
      <c r="Z170" t="s">
        <v>797</v>
      </c>
      <c r="AA170" s="27">
        <f t="shared" si="47"/>
        <v>0.05</v>
      </c>
      <c r="AO170">
        <v>1</v>
      </c>
      <c r="AP170" s="27">
        <f t="shared" si="48"/>
        <v>9.0000000000000011E-2</v>
      </c>
      <c r="AV170">
        <f>AV169-0.1</f>
        <v>2.1999999999999997</v>
      </c>
      <c r="AW170" s="27">
        <f t="shared" si="49"/>
        <v>-0.04</v>
      </c>
      <c r="AZ170" s="24">
        <f t="shared" ref="AZ170:AZ171" si="50">AZ169+0.3</f>
        <v>1.6</v>
      </c>
      <c r="BB170">
        <f t="shared" ref="BB170:BB171" si="51">BB169+0.05</f>
        <v>0.3</v>
      </c>
    </row>
    <row r="171" spans="19:59">
      <c r="S171" s="89"/>
      <c r="T171" s="89"/>
      <c r="U171">
        <v>1970</v>
      </c>
      <c r="V171" t="s">
        <v>798</v>
      </c>
      <c r="W171" t="s">
        <v>776</v>
      </c>
      <c r="Y171" t="s">
        <v>777</v>
      </c>
      <c r="Z171" t="s">
        <v>799</v>
      </c>
      <c r="AA171" s="28">
        <f t="shared" si="47"/>
        <v>7.5000000000000011E-2</v>
      </c>
      <c r="AO171">
        <v>1</v>
      </c>
      <c r="AP171" s="27">
        <f t="shared" si="48"/>
        <v>0.11000000000000001</v>
      </c>
      <c r="AV171">
        <f>AV170-0.1</f>
        <v>2.0999999999999996</v>
      </c>
      <c r="AW171" s="27">
        <f t="shared" si="49"/>
        <v>-0.06</v>
      </c>
      <c r="AZ171" s="24">
        <f t="shared" si="50"/>
        <v>1.9000000000000001</v>
      </c>
      <c r="BB171">
        <f t="shared" si="51"/>
        <v>0.35</v>
      </c>
    </row>
    <row r="172" spans="19:59">
      <c r="S172" s="89"/>
      <c r="T172" s="56"/>
    </row>
    <row r="173" spans="19:59">
      <c r="S173" s="89"/>
      <c r="T173" s="91" t="s">
        <v>800</v>
      </c>
      <c r="U173" s="15">
        <v>1960</v>
      </c>
      <c r="V173" s="15" t="s">
        <v>801</v>
      </c>
      <c r="W173" s="15" t="s">
        <v>802</v>
      </c>
      <c r="X173" s="15"/>
      <c r="Y173" s="15" t="s">
        <v>803</v>
      </c>
      <c r="Z173" s="15" t="s">
        <v>804</v>
      </c>
      <c r="AA173" s="26">
        <v>-0.05</v>
      </c>
      <c r="AB173" s="15"/>
      <c r="AC173" s="15"/>
      <c r="AD173" s="15"/>
      <c r="AE173" s="15"/>
      <c r="AF173" s="15"/>
      <c r="AG173" s="15">
        <v>3</v>
      </c>
      <c r="AH173" s="15"/>
      <c r="AI173" s="15">
        <v>3</v>
      </c>
      <c r="AJ173" s="15"/>
      <c r="AK173" s="15"/>
      <c r="AL173" s="15"/>
      <c r="AM173" s="15"/>
      <c r="AN173" s="15"/>
      <c r="AO173" s="15">
        <v>2</v>
      </c>
      <c r="AP173" s="26">
        <v>0.2</v>
      </c>
      <c r="AQ173" s="15"/>
      <c r="AR173" s="15"/>
      <c r="AS173" s="15"/>
      <c r="AT173" s="15"/>
      <c r="AU173" s="15"/>
      <c r="AV173" s="15">
        <v>3.5</v>
      </c>
      <c r="AW173" s="15"/>
      <c r="AX173" s="15"/>
      <c r="AY173" s="15"/>
      <c r="AZ173" s="25">
        <v>7</v>
      </c>
      <c r="BA173" s="15"/>
      <c r="BB173" s="15">
        <v>0.3</v>
      </c>
      <c r="BC173" s="15"/>
      <c r="BD173" s="15">
        <v>2</v>
      </c>
      <c r="BE173" s="15">
        <v>1</v>
      </c>
      <c r="BF173" s="15"/>
      <c r="BG173" s="15"/>
    </row>
    <row r="174" spans="19:59">
      <c r="S174" s="89"/>
      <c r="T174" s="91"/>
      <c r="U174">
        <v>1970</v>
      </c>
      <c r="V174" t="s">
        <v>805</v>
      </c>
      <c r="W174" t="s">
        <v>806</v>
      </c>
      <c r="Y174" t="s">
        <v>807</v>
      </c>
      <c r="Z174" t="s">
        <v>808</v>
      </c>
      <c r="AA174" s="28">
        <f>AA173+7.5%</f>
        <v>2.4999999999999994E-2</v>
      </c>
      <c r="AG174">
        <f>AG173+0.5</f>
        <v>3.5</v>
      </c>
      <c r="AI174">
        <f t="shared" ref="AI174:AI176" si="52">AI173+0.5</f>
        <v>3.5</v>
      </c>
      <c r="AO174">
        <v>2</v>
      </c>
      <c r="AP174" s="27">
        <f t="shared" ref="AP174:AP176" si="53">AP173+2%</f>
        <v>0.22</v>
      </c>
      <c r="AV174">
        <f t="shared" ref="AV174:AV176" si="54">AV173-0.1</f>
        <v>3.4</v>
      </c>
      <c r="AW174" s="27">
        <f>AW173-4%</f>
        <v>-0.04</v>
      </c>
      <c r="AZ174" s="24">
        <f t="shared" ref="AZ174:AZ176" si="55">AZ173+0.3</f>
        <v>7.3</v>
      </c>
      <c r="BB174">
        <f t="shared" ref="BB174:BB176" si="56">BB173+0.05</f>
        <v>0.35</v>
      </c>
      <c r="BD174">
        <v>2</v>
      </c>
      <c r="BE174">
        <v>1</v>
      </c>
    </row>
    <row r="175" spans="19:59">
      <c r="S175" s="89"/>
      <c r="T175" s="91"/>
      <c r="U175">
        <v>1980</v>
      </c>
      <c r="V175" t="s">
        <v>809</v>
      </c>
      <c r="W175" t="s">
        <v>810</v>
      </c>
      <c r="Y175" t="s">
        <v>811</v>
      </c>
      <c r="Z175" t="s">
        <v>812</v>
      </c>
      <c r="AA175" s="27">
        <f>AA174+7.5%</f>
        <v>9.9999999999999992E-2</v>
      </c>
      <c r="AG175">
        <f t="shared" ref="AG175:AG176" si="57">AG174+0.5</f>
        <v>4</v>
      </c>
      <c r="AI175">
        <f t="shared" si="52"/>
        <v>4</v>
      </c>
      <c r="AO175">
        <v>2</v>
      </c>
      <c r="AP175" s="27">
        <f t="shared" si="53"/>
        <v>0.24</v>
      </c>
      <c r="AV175">
        <f t="shared" si="54"/>
        <v>3.3</v>
      </c>
      <c r="AW175" s="27">
        <f t="shared" ref="AW175:AW176" si="58">AW174-4%</f>
        <v>-0.08</v>
      </c>
      <c r="AZ175" s="24">
        <f t="shared" si="55"/>
        <v>7.6</v>
      </c>
      <c r="BB175">
        <f t="shared" si="56"/>
        <v>0.39999999999999997</v>
      </c>
      <c r="BD175">
        <v>2</v>
      </c>
      <c r="BE175">
        <v>1</v>
      </c>
    </row>
    <row r="176" spans="19:59">
      <c r="S176" s="89"/>
      <c r="T176" s="91"/>
      <c r="U176">
        <v>2000</v>
      </c>
      <c r="V176" t="s">
        <v>813</v>
      </c>
      <c r="W176" t="s">
        <v>814</v>
      </c>
      <c r="Y176" t="s">
        <v>815</v>
      </c>
      <c r="Z176" t="s">
        <v>816</v>
      </c>
      <c r="AA176" s="28">
        <f>AA175+7.5%</f>
        <v>0.17499999999999999</v>
      </c>
      <c r="AG176">
        <f t="shared" si="57"/>
        <v>4.5</v>
      </c>
      <c r="AI176">
        <f t="shared" si="52"/>
        <v>4.5</v>
      </c>
      <c r="AO176">
        <v>2</v>
      </c>
      <c r="AP176" s="27">
        <f t="shared" si="53"/>
        <v>0.26</v>
      </c>
      <c r="AV176">
        <f t="shared" si="54"/>
        <v>3.1999999999999997</v>
      </c>
      <c r="AW176" s="27">
        <f t="shared" si="58"/>
        <v>-0.12</v>
      </c>
      <c r="AZ176" s="24">
        <f t="shared" si="55"/>
        <v>7.8999999999999995</v>
      </c>
      <c r="BB176">
        <f t="shared" si="56"/>
        <v>0.44999999999999996</v>
      </c>
      <c r="BD176">
        <v>2</v>
      </c>
      <c r="BE176">
        <v>2</v>
      </c>
    </row>
    <row r="177" spans="19:59">
      <c r="S177" s="89"/>
      <c r="T177" s="56"/>
      <c r="AW177" s="27"/>
    </row>
    <row r="178" spans="19:59">
      <c r="S178" s="89"/>
      <c r="T178" s="91" t="s">
        <v>817</v>
      </c>
      <c r="U178" s="15">
        <v>1939</v>
      </c>
      <c r="V178" s="15" t="s">
        <v>818</v>
      </c>
      <c r="W178" s="15" t="s">
        <v>764</v>
      </c>
      <c r="X178" s="15"/>
      <c r="Y178" s="15" t="s">
        <v>765</v>
      </c>
      <c r="Z178" s="15" t="s">
        <v>819</v>
      </c>
      <c r="AA178" s="26">
        <v>0.01</v>
      </c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26">
        <v>-0.05</v>
      </c>
      <c r="AX178" s="15"/>
      <c r="AY178" s="15"/>
      <c r="AZ178" s="25">
        <v>0.25</v>
      </c>
      <c r="BA178" s="15"/>
      <c r="BB178" s="15">
        <v>0.1</v>
      </c>
      <c r="BC178" s="15"/>
      <c r="BD178" s="15"/>
      <c r="BE178" s="15"/>
      <c r="BF178" s="15"/>
      <c r="BG178" s="15"/>
    </row>
    <row r="179" spans="19:59">
      <c r="S179" s="89"/>
      <c r="T179" s="91"/>
      <c r="U179">
        <v>1950</v>
      </c>
      <c r="V179" t="s">
        <v>820</v>
      </c>
      <c r="W179" t="s">
        <v>768</v>
      </c>
      <c r="Y179" t="s">
        <v>769</v>
      </c>
      <c r="Z179" t="s">
        <v>821</v>
      </c>
      <c r="AA179" s="28">
        <f>AA178+0.5%</f>
        <v>1.4999999999999999E-2</v>
      </c>
      <c r="AW179" s="28">
        <f>AW178-2.5%</f>
        <v>-7.5000000000000011E-2</v>
      </c>
      <c r="AZ179" s="24">
        <f>AZ178+0.25</f>
        <v>0.5</v>
      </c>
      <c r="BB179">
        <f>BB178+0.05</f>
        <v>0.15000000000000002</v>
      </c>
    </row>
    <row r="180" spans="19:59">
      <c r="S180" s="89"/>
      <c r="T180" s="91"/>
      <c r="U180">
        <v>1960</v>
      </c>
      <c r="V180" t="s">
        <v>822</v>
      </c>
      <c r="W180" t="s">
        <v>772</v>
      </c>
      <c r="Y180" t="s">
        <v>773</v>
      </c>
      <c r="Z180" t="s">
        <v>823</v>
      </c>
      <c r="AA180" s="27">
        <f t="shared" ref="AA180:AA184" si="59">AA179+0.5%</f>
        <v>0.02</v>
      </c>
      <c r="AW180" s="27">
        <f t="shared" ref="AW180:AW184" si="60">AW179-2.5%</f>
        <v>-0.1</v>
      </c>
      <c r="AZ180" s="24">
        <f t="shared" ref="AZ180:AZ184" si="61">AZ179+0.25</f>
        <v>0.75</v>
      </c>
      <c r="BB180">
        <f t="shared" ref="BB180:BB184" si="62">BB179+0.05</f>
        <v>0.2</v>
      </c>
    </row>
    <row r="181" spans="19:59">
      <c r="S181" s="89"/>
      <c r="T181" s="91"/>
      <c r="U181">
        <v>1970</v>
      </c>
      <c r="V181" t="s">
        <v>824</v>
      </c>
      <c r="W181" t="s">
        <v>776</v>
      </c>
      <c r="Y181" t="s">
        <v>777</v>
      </c>
      <c r="Z181" t="s">
        <v>825</v>
      </c>
      <c r="AA181" s="28">
        <f t="shared" si="59"/>
        <v>2.5000000000000001E-2</v>
      </c>
      <c r="AW181" s="28">
        <f t="shared" si="60"/>
        <v>-0.125</v>
      </c>
      <c r="AZ181" s="24">
        <f t="shared" si="61"/>
        <v>1</v>
      </c>
      <c r="BB181">
        <f t="shared" si="62"/>
        <v>0.25</v>
      </c>
    </row>
    <row r="182" spans="19:59">
      <c r="S182" s="89"/>
      <c r="T182" s="91"/>
      <c r="U182">
        <v>1980</v>
      </c>
      <c r="V182" t="s">
        <v>826</v>
      </c>
      <c r="W182" t="s">
        <v>780</v>
      </c>
      <c r="Y182" t="s">
        <v>781</v>
      </c>
      <c r="Z182" t="s">
        <v>827</v>
      </c>
      <c r="AA182" s="27">
        <f t="shared" si="59"/>
        <v>3.0000000000000002E-2</v>
      </c>
      <c r="AG182">
        <v>1</v>
      </c>
      <c r="AI182">
        <v>2</v>
      </c>
      <c r="AW182" s="27">
        <f t="shared" si="60"/>
        <v>-0.15</v>
      </c>
      <c r="AZ182" s="24">
        <f t="shared" si="61"/>
        <v>1.25</v>
      </c>
      <c r="BB182">
        <f t="shared" si="62"/>
        <v>0.3</v>
      </c>
    </row>
    <row r="183" spans="19:59">
      <c r="S183" s="89"/>
      <c r="T183" s="91"/>
      <c r="U183">
        <v>2000</v>
      </c>
      <c r="V183" t="s">
        <v>828</v>
      </c>
      <c r="W183" t="s">
        <v>784</v>
      </c>
      <c r="Y183" t="s">
        <v>785</v>
      </c>
      <c r="Z183" t="s">
        <v>829</v>
      </c>
      <c r="AA183" s="28">
        <f t="shared" si="59"/>
        <v>3.5000000000000003E-2</v>
      </c>
      <c r="AG183">
        <f>AG182+1</f>
        <v>2</v>
      </c>
      <c r="AI183">
        <f>AI182+1</f>
        <v>3</v>
      </c>
      <c r="AW183" s="28">
        <f t="shared" si="60"/>
        <v>-0.17499999999999999</v>
      </c>
      <c r="AZ183" s="24">
        <f t="shared" si="61"/>
        <v>1.5</v>
      </c>
      <c r="BB183">
        <f t="shared" si="62"/>
        <v>0.35</v>
      </c>
    </row>
    <row r="184" spans="19:59">
      <c r="S184" s="89"/>
      <c r="T184" s="91"/>
      <c r="U184">
        <v>2020</v>
      </c>
      <c r="V184" t="s">
        <v>830</v>
      </c>
      <c r="W184" t="s">
        <v>788</v>
      </c>
      <c r="Y184" t="s">
        <v>789</v>
      </c>
      <c r="Z184" t="s">
        <v>831</v>
      </c>
      <c r="AA184" s="27">
        <f>AA183+2.5%</f>
        <v>6.0000000000000005E-2</v>
      </c>
      <c r="AG184">
        <v>4</v>
      </c>
      <c r="AI184">
        <v>4</v>
      </c>
      <c r="AW184" s="27">
        <f>AW183-12.5%</f>
        <v>-0.3</v>
      </c>
      <c r="AZ184" s="24">
        <v>4</v>
      </c>
      <c r="BB184">
        <f t="shared" si="62"/>
        <v>0.39999999999999997</v>
      </c>
      <c r="BE184">
        <v>1</v>
      </c>
      <c r="BF184">
        <v>1</v>
      </c>
    </row>
    <row r="185" spans="19:59">
      <c r="S185" s="89"/>
      <c r="T185" s="56"/>
    </row>
    <row r="186" spans="19:59">
      <c r="S186" s="89"/>
      <c r="T186" s="91" t="s">
        <v>832</v>
      </c>
      <c r="U186" s="15">
        <v>1960</v>
      </c>
      <c r="V186" s="15" t="s">
        <v>833</v>
      </c>
      <c r="W186" s="15" t="s">
        <v>802</v>
      </c>
      <c r="X186" s="15"/>
      <c r="Y186" s="15" t="s">
        <v>803</v>
      </c>
      <c r="Z186" s="15" t="s">
        <v>834</v>
      </c>
      <c r="AA186" s="26">
        <v>0.03</v>
      </c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26">
        <v>-0.2</v>
      </c>
      <c r="AX186" s="15"/>
      <c r="AY186" s="15"/>
      <c r="AZ186" s="25">
        <v>1.5</v>
      </c>
      <c r="BA186" s="15"/>
      <c r="BB186" s="15">
        <v>0.2</v>
      </c>
      <c r="BC186" s="15"/>
      <c r="BD186" s="15"/>
      <c r="BE186" s="15"/>
      <c r="BF186" s="15"/>
      <c r="BG186" s="15"/>
    </row>
    <row r="187" spans="19:59">
      <c r="S187" s="89"/>
      <c r="T187" s="91"/>
      <c r="U187">
        <v>1970</v>
      </c>
      <c r="V187" t="s">
        <v>835</v>
      </c>
      <c r="W187" t="s">
        <v>806</v>
      </c>
      <c r="Y187" t="s">
        <v>807</v>
      </c>
      <c r="Z187" t="s">
        <v>836</v>
      </c>
      <c r="AA187" s="28">
        <f>AA186+0.5%</f>
        <v>3.4999999999999996E-2</v>
      </c>
      <c r="AW187" s="28">
        <f t="shared" ref="AW187:AW189" si="63">AW186-2.5%</f>
        <v>-0.22500000000000001</v>
      </c>
      <c r="AZ187" s="24">
        <f>AZ186+0.5</f>
        <v>2</v>
      </c>
      <c r="BB187">
        <f t="shared" ref="BB187:BB189" si="64">BB186+0.05</f>
        <v>0.25</v>
      </c>
    </row>
    <row r="188" spans="19:59">
      <c r="S188" s="89"/>
      <c r="T188" s="91"/>
      <c r="U188">
        <v>1980</v>
      </c>
      <c r="V188" t="s">
        <v>837</v>
      </c>
      <c r="W188" t="s">
        <v>810</v>
      </c>
      <c r="Y188" t="s">
        <v>811</v>
      </c>
      <c r="Z188" t="s">
        <v>838</v>
      </c>
      <c r="AA188" s="27">
        <f>AA187+0.5%</f>
        <v>3.9999999999999994E-2</v>
      </c>
      <c r="AG188">
        <v>2</v>
      </c>
      <c r="AI188">
        <v>1</v>
      </c>
      <c r="AW188" s="28">
        <f t="shared" si="63"/>
        <v>-0.25</v>
      </c>
      <c r="AZ188" s="24">
        <f t="shared" ref="AZ188:AZ189" si="65">AZ187+0.5</f>
        <v>2.5</v>
      </c>
      <c r="BB188">
        <f t="shared" si="64"/>
        <v>0.3</v>
      </c>
    </row>
    <row r="189" spans="19:59">
      <c r="S189" s="89"/>
      <c r="T189" s="91"/>
      <c r="U189">
        <v>2000</v>
      </c>
      <c r="V189" t="s">
        <v>839</v>
      </c>
      <c r="W189" t="s">
        <v>814</v>
      </c>
      <c r="Y189" t="s">
        <v>815</v>
      </c>
      <c r="Z189" t="s">
        <v>840</v>
      </c>
      <c r="AA189" s="28">
        <f>AA188+0.5%</f>
        <v>4.4999999999999991E-2</v>
      </c>
      <c r="AG189">
        <f>AG188+1</f>
        <v>3</v>
      </c>
      <c r="AI189">
        <f>AI188+1</f>
        <v>2</v>
      </c>
      <c r="AW189" s="28">
        <f t="shared" si="63"/>
        <v>-0.27500000000000002</v>
      </c>
      <c r="AZ189" s="24">
        <f t="shared" si="65"/>
        <v>3</v>
      </c>
      <c r="BB189">
        <f t="shared" si="64"/>
        <v>0.35</v>
      </c>
    </row>
    <row r="190" spans="19:59">
      <c r="S190" s="89"/>
      <c r="T190" s="56"/>
    </row>
    <row r="191" spans="19:59">
      <c r="S191" s="89"/>
      <c r="T191" s="91" t="s">
        <v>841</v>
      </c>
      <c r="U191" s="15">
        <v>1939</v>
      </c>
      <c r="V191" s="15" t="s">
        <v>842</v>
      </c>
      <c r="W191" s="15" t="s">
        <v>525</v>
      </c>
      <c r="X191" s="15"/>
      <c r="Y191" s="15" t="s">
        <v>525</v>
      </c>
      <c r="Z191" s="15" t="s">
        <v>843</v>
      </c>
      <c r="AA191" s="15"/>
      <c r="AB191" s="26">
        <v>-0.3</v>
      </c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26">
        <v>-0.05</v>
      </c>
      <c r="AQ191" s="15"/>
      <c r="AR191" s="15"/>
      <c r="AS191" s="15"/>
      <c r="AT191" s="15"/>
      <c r="AU191" s="15"/>
      <c r="AV191" s="15"/>
      <c r="AW191" s="26">
        <v>0.1</v>
      </c>
      <c r="AX191" s="15"/>
      <c r="AY191" s="15"/>
      <c r="AZ191" s="25">
        <v>-0.5</v>
      </c>
      <c r="BA191" s="26">
        <v>-0.1</v>
      </c>
      <c r="BB191">
        <v>0.1</v>
      </c>
      <c r="BD191" s="15"/>
      <c r="BE191" s="15"/>
      <c r="BF191" s="15"/>
      <c r="BG191" s="15"/>
    </row>
    <row r="192" spans="19:59">
      <c r="S192" s="89"/>
      <c r="T192" s="91"/>
      <c r="U192">
        <v>1939</v>
      </c>
      <c r="V192" t="s">
        <v>844</v>
      </c>
      <c r="W192" t="s">
        <v>525</v>
      </c>
      <c r="Y192" t="s">
        <v>525</v>
      </c>
      <c r="Z192" t="s">
        <v>845</v>
      </c>
      <c r="AB192" s="27">
        <f>AB191+10%</f>
        <v>-0.19999999999999998</v>
      </c>
      <c r="AG192">
        <v>0.5</v>
      </c>
      <c r="AI192">
        <v>0.5</v>
      </c>
      <c r="AP192" s="27">
        <v>0.05</v>
      </c>
      <c r="AW192" s="27">
        <f>AW191-5%</f>
        <v>0.05</v>
      </c>
      <c r="AZ192" s="24"/>
      <c r="BB192">
        <v>0.15</v>
      </c>
    </row>
    <row r="193" spans="19:59">
      <c r="S193" s="89"/>
      <c r="T193" s="91"/>
      <c r="U193">
        <v>1939</v>
      </c>
      <c r="V193" t="s">
        <v>846</v>
      </c>
      <c r="W193" t="s">
        <v>525</v>
      </c>
      <c r="Y193" t="s">
        <v>525</v>
      </c>
      <c r="Z193" t="s">
        <v>847</v>
      </c>
      <c r="AB193" s="27">
        <f>AB192+10%</f>
        <v>-9.9999999999999978E-2</v>
      </c>
      <c r="AG193">
        <v>1</v>
      </c>
      <c r="AI193">
        <v>1</v>
      </c>
      <c r="AP193" s="27">
        <v>0.15</v>
      </c>
      <c r="AZ193" s="24">
        <f>AZ192+0.5</f>
        <v>0.5</v>
      </c>
      <c r="BB193">
        <v>0.2</v>
      </c>
    </row>
    <row r="194" spans="19:59">
      <c r="S194" s="89"/>
      <c r="T194" s="91"/>
      <c r="U194">
        <v>1939</v>
      </c>
      <c r="V194" t="s">
        <v>848</v>
      </c>
      <c r="W194" t="s">
        <v>525</v>
      </c>
      <c r="Y194" t="s">
        <v>525</v>
      </c>
      <c r="Z194" t="s">
        <v>849</v>
      </c>
      <c r="AA194" s="27">
        <v>-0.1</v>
      </c>
      <c r="AB194" s="27">
        <f>AB191+10%</f>
        <v>-0.19999999999999998</v>
      </c>
      <c r="AG194">
        <v>1</v>
      </c>
      <c r="AP194" s="27">
        <v>-0.05</v>
      </c>
      <c r="AW194" s="27">
        <f>AW191-5%</f>
        <v>0.05</v>
      </c>
      <c r="AZ194" s="24">
        <f>AZ191+1.1</f>
        <v>0.60000000000000009</v>
      </c>
      <c r="BB194">
        <v>0.2</v>
      </c>
    </row>
    <row r="195" spans="19:59">
      <c r="S195" s="89"/>
      <c r="T195" s="91"/>
      <c r="U195">
        <v>1939</v>
      </c>
      <c r="V195" t="s">
        <v>850</v>
      </c>
      <c r="W195" t="s">
        <v>525</v>
      </c>
      <c r="Y195" t="s">
        <v>525</v>
      </c>
      <c r="Z195" t="s">
        <v>851</v>
      </c>
      <c r="AA195" s="27"/>
      <c r="AG195">
        <v>1</v>
      </c>
      <c r="AI195">
        <v>2</v>
      </c>
      <c r="AP195" s="27">
        <v>-0.15</v>
      </c>
      <c r="AW195" s="28">
        <f>AW191-2.5%</f>
        <v>7.5000000000000011E-2</v>
      </c>
      <c r="AZ195" s="24">
        <f>AZ191+1.2</f>
        <v>0.7</v>
      </c>
      <c r="BB195">
        <v>0.2</v>
      </c>
      <c r="BD195">
        <v>1</v>
      </c>
    </row>
    <row r="196" spans="19:59">
      <c r="S196" s="89"/>
      <c r="T196" s="91"/>
      <c r="U196">
        <v>1939</v>
      </c>
      <c r="V196" t="s">
        <v>852</v>
      </c>
      <c r="W196" t="s">
        <v>525</v>
      </c>
      <c r="Y196" t="s">
        <v>525</v>
      </c>
      <c r="Z196" t="s">
        <v>853</v>
      </c>
      <c r="AA196" s="28">
        <v>-7.4999999999999997E-2</v>
      </c>
      <c r="AG196">
        <v>3</v>
      </c>
      <c r="AI196">
        <v>1</v>
      </c>
      <c r="AP196" s="27">
        <v>0.1</v>
      </c>
      <c r="AZ196" s="24">
        <f>AZ191+1.5</f>
        <v>1</v>
      </c>
      <c r="BB196">
        <v>1</v>
      </c>
      <c r="BD196">
        <v>1</v>
      </c>
    </row>
    <row r="197" spans="19:59">
      <c r="S197" s="89"/>
      <c r="T197" s="91"/>
      <c r="U197">
        <v>1939</v>
      </c>
      <c r="V197" t="s">
        <v>854</v>
      </c>
      <c r="W197" t="s">
        <v>525</v>
      </c>
      <c r="Y197" t="s">
        <v>525</v>
      </c>
      <c r="Z197" t="s">
        <v>855</v>
      </c>
      <c r="AA197" s="27">
        <v>0.05</v>
      </c>
      <c r="AG197">
        <v>2</v>
      </c>
      <c r="AI197">
        <v>3</v>
      </c>
      <c r="AP197" s="28">
        <v>-7.4999999999999997E-2</v>
      </c>
      <c r="AW197" s="27">
        <f>AW194</f>
        <v>0.05</v>
      </c>
      <c r="AZ197" s="24">
        <f>AZ191+1.5</f>
        <v>1</v>
      </c>
      <c r="BB197">
        <v>0.2</v>
      </c>
      <c r="BD197">
        <v>1</v>
      </c>
    </row>
    <row r="198" spans="19:59">
      <c r="S198" s="89"/>
      <c r="T198" s="91"/>
      <c r="U198">
        <v>1939</v>
      </c>
      <c r="V198" t="s">
        <v>856</v>
      </c>
      <c r="W198" t="s">
        <v>525</v>
      </c>
      <c r="Y198" t="s">
        <v>525</v>
      </c>
      <c r="Z198" t="s">
        <v>857</v>
      </c>
      <c r="AA198" s="27">
        <v>0.1</v>
      </c>
      <c r="AG198">
        <v>3</v>
      </c>
      <c r="AI198">
        <v>3</v>
      </c>
      <c r="AZ198" s="24">
        <f>AZ191+2</f>
        <v>1.5</v>
      </c>
      <c r="BB198">
        <v>0.5</v>
      </c>
      <c r="BD198">
        <v>2</v>
      </c>
    </row>
    <row r="199" spans="19:59">
      <c r="S199" s="89"/>
      <c r="T199" s="56"/>
    </row>
    <row r="200" spans="19:59">
      <c r="S200" s="89"/>
      <c r="T200" s="91" t="s">
        <v>858</v>
      </c>
      <c r="U200" s="15">
        <v>1942</v>
      </c>
      <c r="V200" s="15" t="s">
        <v>859</v>
      </c>
      <c r="W200" s="15" t="s">
        <v>860</v>
      </c>
      <c r="X200" s="15"/>
      <c r="Y200" s="15" t="s">
        <v>860</v>
      </c>
      <c r="Z200" s="15" t="s">
        <v>861</v>
      </c>
      <c r="AA200" s="39">
        <f>AA195+2.5%</f>
        <v>2.5000000000000001E-2</v>
      </c>
      <c r="AB200" s="15"/>
      <c r="AC200" s="15"/>
      <c r="AD200" s="15"/>
      <c r="AE200" s="15"/>
      <c r="AF200" s="15"/>
      <c r="AG200" s="15">
        <f>AG195+0.5</f>
        <v>1.5</v>
      </c>
      <c r="AH200" s="15"/>
      <c r="AI200" s="15">
        <f>AI195+0.5</f>
        <v>2.5</v>
      </c>
      <c r="AJ200" s="15"/>
      <c r="AK200" s="15"/>
      <c r="AL200" s="15"/>
      <c r="AM200" s="15"/>
      <c r="AN200" s="15"/>
      <c r="AO200" s="15"/>
      <c r="AP200" s="39">
        <f>AP195+2.5%</f>
        <v>-0.125</v>
      </c>
      <c r="AQ200" s="15"/>
      <c r="AR200" s="15"/>
      <c r="AS200" s="15"/>
      <c r="AT200" s="15"/>
      <c r="AU200" s="15"/>
      <c r="AV200" s="15"/>
      <c r="AW200" s="39">
        <f>AW195</f>
        <v>7.5000000000000011E-2</v>
      </c>
      <c r="AX200" s="15"/>
      <c r="AY200" s="15"/>
      <c r="AZ200" s="25">
        <f>AZ195+0.3</f>
        <v>1</v>
      </c>
      <c r="BA200" s="15"/>
      <c r="BB200" s="15">
        <f>BB195+0.1</f>
        <v>0.30000000000000004</v>
      </c>
      <c r="BC200" s="15"/>
      <c r="BD200" s="15">
        <v>1</v>
      </c>
      <c r="BE200" s="15"/>
      <c r="BF200" s="15"/>
      <c r="BG200" s="15"/>
    </row>
    <row r="201" spans="19:59">
      <c r="S201" s="89"/>
      <c r="T201" s="91"/>
      <c r="U201">
        <v>1942</v>
      </c>
      <c r="V201" t="s">
        <v>862</v>
      </c>
      <c r="W201" t="s">
        <v>860</v>
      </c>
      <c r="Y201" t="s">
        <v>860</v>
      </c>
      <c r="Z201" t="s">
        <v>863</v>
      </c>
      <c r="AA201" s="27">
        <f>AA196+2.5%</f>
        <v>-4.9999999999999996E-2</v>
      </c>
      <c r="AG201">
        <f>AG196+0.5</f>
        <v>3.5</v>
      </c>
      <c r="AI201">
        <f>AI196+0.5</f>
        <v>1.5</v>
      </c>
      <c r="AP201" s="28">
        <f>AP196+2.5%</f>
        <v>0.125</v>
      </c>
      <c r="AZ201" s="24">
        <f>AZ196+0.3</f>
        <v>1.3</v>
      </c>
      <c r="BB201">
        <f>BB196+0.1</f>
        <v>1.1000000000000001</v>
      </c>
      <c r="BD201">
        <v>1</v>
      </c>
    </row>
    <row r="202" spans="19:59">
      <c r="S202" s="89"/>
      <c r="T202" s="91"/>
      <c r="U202">
        <v>1942</v>
      </c>
      <c r="V202" t="s">
        <v>864</v>
      </c>
      <c r="W202" t="s">
        <v>860</v>
      </c>
      <c r="Y202" t="s">
        <v>860</v>
      </c>
      <c r="Z202" t="s">
        <v>865</v>
      </c>
      <c r="AA202" s="28">
        <f>AA197+2.5%</f>
        <v>7.5000000000000011E-2</v>
      </c>
      <c r="AG202">
        <f>AG197+0.5</f>
        <v>2.5</v>
      </c>
      <c r="AI202">
        <f>AI197+0.5</f>
        <v>3.5</v>
      </c>
      <c r="AP202" s="27">
        <f>AP197+2.5%</f>
        <v>-4.9999999999999996E-2</v>
      </c>
      <c r="AW202" s="27">
        <f>AW197</f>
        <v>0.05</v>
      </c>
      <c r="AZ202" s="24">
        <f>AZ197+0.3</f>
        <v>1.3</v>
      </c>
      <c r="BB202">
        <f>BB197+0.1</f>
        <v>0.30000000000000004</v>
      </c>
      <c r="BD202">
        <v>1</v>
      </c>
    </row>
    <row r="203" spans="19:59">
      <c r="S203" s="89"/>
      <c r="T203" s="91"/>
      <c r="U203">
        <v>1942</v>
      </c>
      <c r="V203" t="s">
        <v>866</v>
      </c>
      <c r="W203" t="s">
        <v>860</v>
      </c>
      <c r="Y203" t="s">
        <v>860</v>
      </c>
      <c r="Z203" t="s">
        <v>867</v>
      </c>
      <c r="AA203" s="28">
        <f>AA198+2.5%</f>
        <v>0.125</v>
      </c>
      <c r="AG203">
        <f>AG198+0.5</f>
        <v>3.5</v>
      </c>
      <c r="AI203">
        <f>AI198+0.5</f>
        <v>3.5</v>
      </c>
      <c r="AP203" s="28">
        <f>AP198+2.5%</f>
        <v>2.5000000000000001E-2</v>
      </c>
      <c r="AZ203" s="24">
        <f>AZ198+0.3</f>
        <v>1.8</v>
      </c>
      <c r="BB203">
        <f>BB198+0.1</f>
        <v>0.6</v>
      </c>
      <c r="BD203">
        <v>1</v>
      </c>
    </row>
    <row r="204" spans="19:59">
      <c r="S204" s="89"/>
      <c r="T204" s="91"/>
      <c r="U204">
        <v>1942</v>
      </c>
      <c r="V204" t="s">
        <v>868</v>
      </c>
      <c r="W204" t="s">
        <v>860</v>
      </c>
      <c r="Y204" t="s">
        <v>860</v>
      </c>
      <c r="Z204" t="s">
        <v>869</v>
      </c>
      <c r="AA204" s="28">
        <v>7.4999999999999997E-2</v>
      </c>
      <c r="AG204">
        <v>5</v>
      </c>
      <c r="AI204">
        <v>5</v>
      </c>
      <c r="AP204" s="27">
        <v>0.05</v>
      </c>
      <c r="AY204" s="27">
        <v>0.05</v>
      </c>
      <c r="AZ204" s="24">
        <v>3.5</v>
      </c>
      <c r="BB204">
        <v>0.5</v>
      </c>
      <c r="BD204">
        <v>1</v>
      </c>
      <c r="BE204">
        <v>1</v>
      </c>
    </row>
    <row r="205" spans="19:59">
      <c r="S205" s="89"/>
      <c r="T205" s="91"/>
      <c r="U205">
        <v>1960</v>
      </c>
      <c r="V205" t="s">
        <v>870</v>
      </c>
      <c r="W205" t="s">
        <v>871</v>
      </c>
      <c r="Y205" t="s">
        <v>871</v>
      </c>
      <c r="Z205" t="s">
        <v>872</v>
      </c>
      <c r="AA205" s="28">
        <f>AA204</f>
        <v>7.4999999999999997E-2</v>
      </c>
      <c r="AG205">
        <v>7</v>
      </c>
      <c r="AH205" s="27">
        <v>0.05</v>
      </c>
      <c r="AI205">
        <v>7</v>
      </c>
      <c r="AJ205" s="27">
        <v>0.05</v>
      </c>
      <c r="AP205" s="27">
        <v>0.05</v>
      </c>
      <c r="AV205">
        <v>0.2</v>
      </c>
      <c r="AY205" s="28">
        <f>AY204+2.5%</f>
        <v>7.5000000000000011E-2</v>
      </c>
      <c r="AZ205" s="24">
        <f>AZ204+1</f>
        <v>4.5</v>
      </c>
      <c r="BB205">
        <f>BB204+0.2</f>
        <v>0.7</v>
      </c>
      <c r="BD205">
        <v>1</v>
      </c>
      <c r="BE205">
        <v>1</v>
      </c>
    </row>
    <row r="206" spans="19:59">
      <c r="S206" s="89"/>
      <c r="T206" s="91"/>
      <c r="U206">
        <v>2010</v>
      </c>
      <c r="V206" t="s">
        <v>873</v>
      </c>
      <c r="W206" t="s">
        <v>874</v>
      </c>
      <c r="Y206" t="s">
        <v>874</v>
      </c>
      <c r="Z206" t="s">
        <v>875</v>
      </c>
      <c r="AA206" s="28">
        <f>AA205</f>
        <v>7.4999999999999997E-2</v>
      </c>
      <c r="AG206">
        <v>9</v>
      </c>
      <c r="AH206" s="28">
        <f>AH205+2.5%</f>
        <v>7.5000000000000011E-2</v>
      </c>
      <c r="AI206">
        <v>9</v>
      </c>
      <c r="AJ206" s="28">
        <f>AJ205+2.5%</f>
        <v>7.5000000000000011E-2</v>
      </c>
      <c r="AP206" s="27">
        <v>0.15</v>
      </c>
      <c r="AV206">
        <v>0.4</v>
      </c>
      <c r="AW206" s="27">
        <v>-0.05</v>
      </c>
      <c r="AY206" s="27">
        <f>AY205+2.5%</f>
        <v>0.1</v>
      </c>
      <c r="AZ206" s="24">
        <f>AZ205+2</f>
        <v>6.5</v>
      </c>
      <c r="BB206">
        <f>BB205+0.2</f>
        <v>0.89999999999999991</v>
      </c>
      <c r="BD206">
        <v>1</v>
      </c>
      <c r="BE206">
        <v>1</v>
      </c>
      <c r="BF206">
        <v>1</v>
      </c>
    </row>
    <row r="207" spans="19:59">
      <c r="S207" s="55"/>
    </row>
    <row r="208" spans="19:59">
      <c r="S208" s="55"/>
    </row>
    <row r="209" spans="19:59">
      <c r="S209" s="77" t="s">
        <v>471</v>
      </c>
      <c r="T209" s="77" t="s">
        <v>2</v>
      </c>
      <c r="U209" s="77" t="s">
        <v>3</v>
      </c>
      <c r="V209" s="77" t="s">
        <v>472</v>
      </c>
      <c r="W209" s="77" t="s">
        <v>473</v>
      </c>
      <c r="X209" s="86" t="s">
        <v>240</v>
      </c>
      <c r="Y209" s="87"/>
      <c r="Z209" s="77" t="s">
        <v>474</v>
      </c>
      <c r="AA209" s="79" t="s">
        <v>121</v>
      </c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  <c r="AZ209" s="80"/>
      <c r="BA209" s="80"/>
      <c r="BB209" s="81"/>
      <c r="BC209" s="82" t="s">
        <v>241</v>
      </c>
      <c r="BD209" s="83"/>
      <c r="BE209" s="83"/>
      <c r="BF209" s="83"/>
      <c r="BG209" s="84"/>
    </row>
    <row r="210" spans="19:59">
      <c r="S210" s="78"/>
      <c r="T210" s="78"/>
      <c r="U210" s="78"/>
      <c r="V210" s="78"/>
      <c r="W210" s="78"/>
      <c r="X210" s="68" t="s">
        <v>477</v>
      </c>
      <c r="Y210" s="68" t="s">
        <v>243</v>
      </c>
      <c r="Z210" s="78"/>
      <c r="AA210" s="46" t="s">
        <v>244</v>
      </c>
      <c r="AB210" s="46" t="s">
        <v>245</v>
      </c>
      <c r="AC210" s="46" t="s">
        <v>124</v>
      </c>
      <c r="AD210" s="46" t="s">
        <v>246</v>
      </c>
      <c r="AE210" s="46" t="s">
        <v>125</v>
      </c>
      <c r="AF210" s="46" t="s">
        <v>247</v>
      </c>
      <c r="AG210" s="46" t="s">
        <v>248</v>
      </c>
      <c r="AH210" s="46" t="s">
        <v>249</v>
      </c>
      <c r="AI210" s="46" t="s">
        <v>250</v>
      </c>
      <c r="AJ210" s="46" t="s">
        <v>251</v>
      </c>
      <c r="AK210" s="46" t="s">
        <v>8</v>
      </c>
      <c r="AL210" s="46" t="s">
        <v>253</v>
      </c>
      <c r="AM210" s="46" t="s">
        <v>126</v>
      </c>
      <c r="AN210" s="46" t="s">
        <v>478</v>
      </c>
      <c r="AO210" s="46" t="s">
        <v>127</v>
      </c>
      <c r="AP210" s="46" t="s">
        <v>252</v>
      </c>
      <c r="AQ210" s="46" t="s">
        <v>112</v>
      </c>
      <c r="AR210" s="46" t="s">
        <v>343</v>
      </c>
      <c r="AS210" s="53" t="s">
        <v>479</v>
      </c>
      <c r="AT210" s="46" t="s">
        <v>254</v>
      </c>
      <c r="AU210" s="46" t="s">
        <v>255</v>
      </c>
      <c r="AV210" s="46" t="s">
        <v>256</v>
      </c>
      <c r="AW210" s="46" t="s">
        <v>257</v>
      </c>
      <c r="AX210" s="46" t="s">
        <v>480</v>
      </c>
      <c r="AY210" s="46" t="s">
        <v>481</v>
      </c>
      <c r="AZ210" s="47" t="s">
        <v>9</v>
      </c>
      <c r="BA210" s="46" t="s">
        <v>258</v>
      </c>
      <c r="BB210" s="46" t="s">
        <v>259</v>
      </c>
      <c r="BC210" s="46" t="s">
        <v>260</v>
      </c>
      <c r="BD210" s="46" t="s">
        <v>261</v>
      </c>
      <c r="BE210" s="46" t="s">
        <v>262</v>
      </c>
      <c r="BF210" s="46" t="s">
        <v>263</v>
      </c>
      <c r="BG210" s="46" t="s">
        <v>264</v>
      </c>
    </row>
    <row r="211" spans="19:59">
      <c r="S211" s="88" t="s">
        <v>128</v>
      </c>
      <c r="T211" s="85" t="s">
        <v>876</v>
      </c>
      <c r="U211">
        <v>1939</v>
      </c>
      <c r="V211" t="s">
        <v>132</v>
      </c>
      <c r="W211" t="s">
        <v>132</v>
      </c>
      <c r="Y211" t="s">
        <v>877</v>
      </c>
      <c r="Z211" t="s">
        <v>130</v>
      </c>
      <c r="AA211" s="10">
        <v>-0.05</v>
      </c>
      <c r="AD211" s="27">
        <v>-0.55000000000000004</v>
      </c>
      <c r="AF211" s="27">
        <v>-0.55000000000000004</v>
      </c>
      <c r="AN211" s="27">
        <v>-0.8</v>
      </c>
      <c r="AO211">
        <v>-0.2</v>
      </c>
      <c r="AZ211" s="24">
        <v>1.5</v>
      </c>
      <c r="BB211">
        <v>0.2</v>
      </c>
      <c r="BD211">
        <v>1</v>
      </c>
    </row>
    <row r="212" spans="19:59">
      <c r="S212" s="89"/>
      <c r="T212" s="71"/>
      <c r="U212">
        <v>1942</v>
      </c>
      <c r="V212" t="s">
        <v>137</v>
      </c>
      <c r="W212" t="s">
        <v>137</v>
      </c>
      <c r="Y212" t="s">
        <v>878</v>
      </c>
      <c r="Z212" t="s">
        <v>135</v>
      </c>
      <c r="AA212" s="10">
        <v>-0.1</v>
      </c>
      <c r="AD212" s="27">
        <f>AD211+10%</f>
        <v>-0.45000000000000007</v>
      </c>
      <c r="AF212" s="27">
        <f>AF211+10%</f>
        <v>-0.45000000000000007</v>
      </c>
      <c r="AN212" s="27">
        <v>-0.6</v>
      </c>
      <c r="AO212">
        <v>-0.3</v>
      </c>
      <c r="AZ212" s="24">
        <f>AZ211+0.3</f>
        <v>1.8</v>
      </c>
      <c r="BB212">
        <v>0.2</v>
      </c>
      <c r="BD212">
        <v>1</v>
      </c>
    </row>
    <row r="213" spans="19:59">
      <c r="S213" s="89"/>
      <c r="T213" s="71"/>
      <c r="U213">
        <v>1944</v>
      </c>
      <c r="V213" t="s">
        <v>141</v>
      </c>
      <c r="W213" t="s">
        <v>141</v>
      </c>
      <c r="Y213" t="s">
        <v>879</v>
      </c>
      <c r="Z213" t="s">
        <v>139</v>
      </c>
      <c r="AA213" s="10">
        <v>-0.15</v>
      </c>
      <c r="AD213" s="27">
        <f>AD212+10%</f>
        <v>-0.35000000000000009</v>
      </c>
      <c r="AF213" s="27">
        <f>AF212+10%</f>
        <v>-0.35000000000000009</v>
      </c>
      <c r="AN213" s="27">
        <v>-0.4</v>
      </c>
      <c r="AO213">
        <v>-0.3</v>
      </c>
      <c r="AZ213" s="24">
        <f t="shared" ref="AZ213:AZ220" si="66">AZ212+0.3</f>
        <v>2.1</v>
      </c>
      <c r="BB213">
        <v>0.2</v>
      </c>
      <c r="BD213">
        <v>1</v>
      </c>
    </row>
    <row r="214" spans="19:59">
      <c r="S214" s="89"/>
      <c r="T214" s="71"/>
      <c r="U214">
        <v>1950</v>
      </c>
      <c r="V214" t="s">
        <v>145</v>
      </c>
      <c r="W214" t="s">
        <v>145</v>
      </c>
      <c r="Y214" t="s">
        <v>880</v>
      </c>
      <c r="Z214" t="s">
        <v>143</v>
      </c>
      <c r="AA214" s="10">
        <v>-0.15</v>
      </c>
      <c r="AD214" s="27">
        <f>AD213+10%</f>
        <v>-0.25000000000000011</v>
      </c>
      <c r="AF214" s="27">
        <f>AF213+10%</f>
        <v>-0.25000000000000011</v>
      </c>
      <c r="AN214" s="27">
        <v>-0.2</v>
      </c>
      <c r="AO214">
        <v>-0.3</v>
      </c>
      <c r="AZ214" s="24">
        <f t="shared" si="66"/>
        <v>2.4</v>
      </c>
      <c r="BB214">
        <v>0.2</v>
      </c>
      <c r="BD214">
        <v>1</v>
      </c>
    </row>
    <row r="215" spans="19:59">
      <c r="S215" s="89"/>
      <c r="T215" s="71"/>
      <c r="U215">
        <v>1960</v>
      </c>
      <c r="V215" t="s">
        <v>149</v>
      </c>
      <c r="W215" t="s">
        <v>149</v>
      </c>
      <c r="Y215" t="s">
        <v>881</v>
      </c>
      <c r="Z215" t="s">
        <v>147</v>
      </c>
      <c r="AA215" s="10">
        <v>-0.2</v>
      </c>
      <c r="AD215" s="27">
        <f>AD214+5%</f>
        <v>-0.20000000000000012</v>
      </c>
      <c r="AF215" s="27">
        <f>AF214+5%</f>
        <v>-0.20000000000000012</v>
      </c>
      <c r="AN215" s="28">
        <v>-0.185</v>
      </c>
      <c r="AO215">
        <v>-0.4</v>
      </c>
      <c r="AZ215" s="24">
        <f t="shared" si="66"/>
        <v>2.6999999999999997</v>
      </c>
      <c r="BB215">
        <v>0.2</v>
      </c>
      <c r="BD215">
        <v>2</v>
      </c>
    </row>
    <row r="216" spans="19:59">
      <c r="S216" s="89"/>
      <c r="T216" s="71"/>
      <c r="U216">
        <v>1970</v>
      </c>
      <c r="V216" t="s">
        <v>155</v>
      </c>
      <c r="W216" t="s">
        <v>155</v>
      </c>
      <c r="Y216" t="s">
        <v>882</v>
      </c>
      <c r="Z216" t="s">
        <v>153</v>
      </c>
      <c r="AA216" s="10">
        <v>-0.2</v>
      </c>
      <c r="AD216" s="27">
        <f t="shared" ref="AD216:AF220" si="67">AD215+5%</f>
        <v>-0.15000000000000013</v>
      </c>
      <c r="AF216" s="27">
        <f t="shared" si="67"/>
        <v>-0.15000000000000013</v>
      </c>
      <c r="AN216" s="27">
        <f>AN215+1.5%</f>
        <v>-0.16999999999999998</v>
      </c>
      <c r="AO216">
        <v>-0.4</v>
      </c>
      <c r="AZ216" s="24">
        <f t="shared" si="66"/>
        <v>2.9999999999999996</v>
      </c>
      <c r="BB216">
        <v>0.2</v>
      </c>
      <c r="BD216">
        <v>2</v>
      </c>
    </row>
    <row r="217" spans="19:59">
      <c r="S217" s="89"/>
      <c r="T217" s="71"/>
      <c r="U217">
        <v>1980</v>
      </c>
      <c r="V217" t="s">
        <v>159</v>
      </c>
      <c r="W217" t="s">
        <v>159</v>
      </c>
      <c r="Y217" t="s">
        <v>883</v>
      </c>
      <c r="Z217" t="s">
        <v>157</v>
      </c>
      <c r="AA217" s="10">
        <v>-0.2</v>
      </c>
      <c r="AD217" s="27">
        <f t="shared" si="67"/>
        <v>-0.10000000000000013</v>
      </c>
      <c r="AF217" s="27">
        <f t="shared" si="67"/>
        <v>-0.10000000000000013</v>
      </c>
      <c r="AN217" s="28">
        <f t="shared" ref="AN217:AN220" si="68">AN216+1.5%</f>
        <v>-0.15499999999999997</v>
      </c>
      <c r="AO217">
        <v>-0.4</v>
      </c>
      <c r="AZ217" s="24">
        <f t="shared" si="66"/>
        <v>3.2999999999999994</v>
      </c>
      <c r="BB217">
        <v>0.2</v>
      </c>
      <c r="BD217">
        <v>2</v>
      </c>
    </row>
    <row r="218" spans="19:59">
      <c r="S218" s="89"/>
      <c r="T218" s="71"/>
      <c r="U218">
        <v>1990</v>
      </c>
      <c r="V218" t="s">
        <v>164</v>
      </c>
      <c r="W218" t="s">
        <v>164</v>
      </c>
      <c r="Y218" t="s">
        <v>884</v>
      </c>
      <c r="Z218" t="s">
        <v>162</v>
      </c>
      <c r="AA218" s="10">
        <v>-0.2</v>
      </c>
      <c r="AD218" s="27">
        <f t="shared" si="67"/>
        <v>-5.0000000000000128E-2</v>
      </c>
      <c r="AF218" s="27">
        <f t="shared" si="67"/>
        <v>-5.0000000000000128E-2</v>
      </c>
      <c r="AN218" s="27">
        <f t="shared" si="68"/>
        <v>-0.13999999999999996</v>
      </c>
      <c r="AO218">
        <v>-0.5</v>
      </c>
      <c r="AZ218" s="24">
        <f t="shared" si="66"/>
        <v>3.5999999999999992</v>
      </c>
      <c r="BB218">
        <v>0.2</v>
      </c>
      <c r="BD218">
        <v>2</v>
      </c>
    </row>
    <row r="219" spans="19:59">
      <c r="S219" s="89"/>
      <c r="T219" s="71"/>
      <c r="U219">
        <v>2005</v>
      </c>
      <c r="V219" t="s">
        <v>169</v>
      </c>
      <c r="W219" t="s">
        <v>169</v>
      </c>
      <c r="Y219" t="s">
        <v>885</v>
      </c>
      <c r="Z219" t="s">
        <v>167</v>
      </c>
      <c r="AA219" s="10">
        <v>-0.2</v>
      </c>
      <c r="AD219" s="27">
        <f t="shared" si="67"/>
        <v>-1.2490009027033011E-16</v>
      </c>
      <c r="AF219" s="27">
        <f t="shared" si="67"/>
        <v>-1.2490009027033011E-16</v>
      </c>
      <c r="AN219" s="28">
        <f t="shared" si="68"/>
        <v>-0.12499999999999996</v>
      </c>
      <c r="AO219">
        <v>-0.5</v>
      </c>
      <c r="AZ219" s="24">
        <f t="shared" si="66"/>
        <v>3.899999999999999</v>
      </c>
      <c r="BB219">
        <v>0.2</v>
      </c>
      <c r="BD219">
        <v>2</v>
      </c>
    </row>
    <row r="220" spans="19:59">
      <c r="S220" s="89"/>
      <c r="T220" s="71"/>
      <c r="U220">
        <v>2015</v>
      </c>
      <c r="V220" t="s">
        <v>174</v>
      </c>
      <c r="W220" t="s">
        <v>174</v>
      </c>
      <c r="Y220" t="s">
        <v>886</v>
      </c>
      <c r="Z220" t="s">
        <v>172</v>
      </c>
      <c r="AA220" s="10">
        <v>-0.2</v>
      </c>
      <c r="AD220" s="27">
        <f t="shared" si="67"/>
        <v>4.9999999999999878E-2</v>
      </c>
      <c r="AF220" s="27">
        <f t="shared" si="67"/>
        <v>4.9999999999999878E-2</v>
      </c>
      <c r="AN220" s="27">
        <f t="shared" si="68"/>
        <v>-0.10999999999999996</v>
      </c>
      <c r="AO220">
        <v>-0.5</v>
      </c>
      <c r="AZ220" s="24">
        <f t="shared" si="66"/>
        <v>4.1999999999999993</v>
      </c>
      <c r="BB220">
        <v>0.2</v>
      </c>
      <c r="BD220">
        <v>2</v>
      </c>
    </row>
    <row r="221" spans="19:59">
      <c r="S221" s="89"/>
    </row>
    <row r="222" spans="19:59">
      <c r="S222" s="89"/>
      <c r="T222" s="71" t="s">
        <v>887</v>
      </c>
      <c r="U222">
        <v>1939</v>
      </c>
      <c r="V222" t="s">
        <v>179</v>
      </c>
      <c r="W222" t="s">
        <v>179</v>
      </c>
      <c r="Y222" t="s">
        <v>888</v>
      </c>
      <c r="Z222" t="s">
        <v>889</v>
      </c>
      <c r="AA222" s="10">
        <v>-0.15</v>
      </c>
      <c r="AD222" s="27">
        <v>-0.3</v>
      </c>
      <c r="AF222" s="27">
        <v>-0.3</v>
      </c>
      <c r="AN222" s="27">
        <v>-0.55000000000000004</v>
      </c>
      <c r="AO222">
        <v>-0.4</v>
      </c>
      <c r="AZ222" s="24">
        <v>3</v>
      </c>
      <c r="BB222">
        <v>0.3</v>
      </c>
      <c r="BD222">
        <v>2</v>
      </c>
    </row>
    <row r="223" spans="19:59">
      <c r="S223" s="89"/>
      <c r="T223" s="71"/>
      <c r="U223">
        <v>1942</v>
      </c>
      <c r="V223" t="s">
        <v>181</v>
      </c>
      <c r="W223" t="s">
        <v>181</v>
      </c>
      <c r="Y223" t="s">
        <v>890</v>
      </c>
      <c r="Z223" t="s">
        <v>891</v>
      </c>
      <c r="AA223" s="10">
        <v>-0.2</v>
      </c>
      <c r="AD223" s="27">
        <f>AD222+10%</f>
        <v>-0.19999999999999998</v>
      </c>
      <c r="AF223" s="27">
        <f>AF222+10%</f>
        <v>-0.19999999999999998</v>
      </c>
      <c r="AN223" s="27">
        <v>-0.3</v>
      </c>
      <c r="AO223">
        <v>-0.5</v>
      </c>
      <c r="AZ223" s="24">
        <f>AZ222+0.4</f>
        <v>3.4</v>
      </c>
      <c r="BB223">
        <v>0.3</v>
      </c>
      <c r="BD223">
        <v>2</v>
      </c>
    </row>
    <row r="224" spans="19:59">
      <c r="S224" s="89"/>
      <c r="T224" s="71"/>
      <c r="U224">
        <v>1944</v>
      </c>
      <c r="V224" t="s">
        <v>183</v>
      </c>
      <c r="W224" t="s">
        <v>183</v>
      </c>
      <c r="Y224" t="s">
        <v>892</v>
      </c>
      <c r="Z224" t="s">
        <v>893</v>
      </c>
      <c r="AA224" s="10">
        <v>-0.25</v>
      </c>
      <c r="AD224" s="27">
        <f>AD223+10%</f>
        <v>-9.9999999999999978E-2</v>
      </c>
      <c r="AF224" s="27">
        <f>AF223+10%</f>
        <v>-9.9999999999999978E-2</v>
      </c>
      <c r="AN224" s="27">
        <v>-0.15</v>
      </c>
      <c r="AO224">
        <v>-0.5</v>
      </c>
      <c r="AZ224" s="24">
        <f t="shared" ref="AZ224:AZ231" si="69">AZ223+0.4</f>
        <v>3.8</v>
      </c>
      <c r="BB224">
        <v>0.3</v>
      </c>
      <c r="BD224">
        <v>2</v>
      </c>
    </row>
    <row r="225" spans="19:59">
      <c r="S225" s="89"/>
      <c r="T225" s="71"/>
      <c r="U225" s="15">
        <v>1950</v>
      </c>
      <c r="V225" s="15" t="s">
        <v>185</v>
      </c>
      <c r="W225" s="15" t="s">
        <v>185</v>
      </c>
      <c r="X225" s="15"/>
      <c r="Y225" s="15" t="s">
        <v>894</v>
      </c>
      <c r="Z225" s="15" t="s">
        <v>895</v>
      </c>
      <c r="AA225" s="16">
        <v>-0.25</v>
      </c>
      <c r="AB225" s="15"/>
      <c r="AC225" s="15"/>
      <c r="AD225" s="15">
        <v>0</v>
      </c>
      <c r="AE225" s="15"/>
      <c r="AF225" s="15">
        <v>0</v>
      </c>
      <c r="AG225" s="15"/>
      <c r="AH225" s="15"/>
      <c r="AI225" s="15"/>
      <c r="AJ225" s="15"/>
      <c r="AK225" s="15"/>
      <c r="AL225" s="15"/>
      <c r="AM225" s="15"/>
      <c r="AN225" s="15">
        <v>0</v>
      </c>
      <c r="AO225">
        <v>-0.5</v>
      </c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24">
        <f t="shared" si="69"/>
        <v>4.2</v>
      </c>
      <c r="BA225" s="15"/>
      <c r="BB225">
        <v>0.3</v>
      </c>
      <c r="BC225" s="15"/>
      <c r="BD225">
        <v>2</v>
      </c>
      <c r="BE225" s="15"/>
      <c r="BF225" s="15"/>
      <c r="BG225" s="15"/>
    </row>
    <row r="226" spans="19:59">
      <c r="S226" s="89"/>
      <c r="T226" s="71"/>
      <c r="U226" s="8">
        <v>1960</v>
      </c>
      <c r="V226" s="8" t="s">
        <v>896</v>
      </c>
      <c r="W226" t="s">
        <v>897</v>
      </c>
      <c r="Y226" t="s">
        <v>898</v>
      </c>
      <c r="Z226" t="s">
        <v>899</v>
      </c>
      <c r="AA226" s="14">
        <v>-0.3</v>
      </c>
      <c r="AD226" s="28">
        <v>2.5000000000000001E-2</v>
      </c>
      <c r="AE226" s="57"/>
      <c r="AF226" s="28">
        <v>2.5000000000000001E-2</v>
      </c>
      <c r="AN226" s="28">
        <v>0.125</v>
      </c>
      <c r="AO226">
        <v>-0.6</v>
      </c>
      <c r="AZ226" s="24">
        <f>AZ225+0.4</f>
        <v>4.6000000000000005</v>
      </c>
      <c r="BB226">
        <v>0.3</v>
      </c>
      <c r="BD226">
        <v>3</v>
      </c>
    </row>
    <row r="227" spans="19:59">
      <c r="S227" s="89"/>
      <c r="T227" s="71"/>
      <c r="U227" s="8">
        <v>1970</v>
      </c>
      <c r="V227" s="8" t="s">
        <v>900</v>
      </c>
      <c r="W227" t="s">
        <v>901</v>
      </c>
      <c r="Y227" t="s">
        <v>902</v>
      </c>
      <c r="Z227" t="s">
        <v>903</v>
      </c>
      <c r="AA227" s="14">
        <v>-0.3</v>
      </c>
      <c r="AD227" s="28">
        <f t="shared" ref="AD227:AD237" si="70">AD226+5%</f>
        <v>7.5000000000000011E-2</v>
      </c>
      <c r="AE227" s="28"/>
      <c r="AF227" s="28">
        <f t="shared" ref="AF227:AF231" si="71">AF226+5%</f>
        <v>7.5000000000000011E-2</v>
      </c>
      <c r="AN227" s="27">
        <f>AN226+2.5%</f>
        <v>0.15</v>
      </c>
      <c r="AO227">
        <v>-0.6</v>
      </c>
      <c r="AZ227" s="24">
        <f t="shared" si="69"/>
        <v>5.0000000000000009</v>
      </c>
      <c r="BB227">
        <v>0.3</v>
      </c>
      <c r="BD227">
        <v>3</v>
      </c>
    </row>
    <row r="228" spans="19:59">
      <c r="S228" s="89"/>
      <c r="T228" s="71"/>
      <c r="U228" s="8">
        <v>1980</v>
      </c>
      <c r="V228" s="8" t="s">
        <v>904</v>
      </c>
      <c r="W228" t="s">
        <v>905</v>
      </c>
      <c r="Y228" t="s">
        <v>906</v>
      </c>
      <c r="Z228" t="s">
        <v>907</v>
      </c>
      <c r="AA228" s="14">
        <v>-0.3</v>
      </c>
      <c r="AD228" s="28">
        <f t="shared" si="70"/>
        <v>0.125</v>
      </c>
      <c r="AE228" s="28"/>
      <c r="AF228" s="28">
        <f t="shared" si="71"/>
        <v>0.125</v>
      </c>
      <c r="AN228" s="28">
        <f t="shared" ref="AN228:AN231" si="72">AN227+2.5%</f>
        <v>0.17499999999999999</v>
      </c>
      <c r="AO228">
        <v>-0.6</v>
      </c>
      <c r="AZ228" s="24">
        <f t="shared" si="69"/>
        <v>5.4000000000000012</v>
      </c>
      <c r="BB228">
        <v>0.3</v>
      </c>
      <c r="BD228">
        <v>3</v>
      </c>
    </row>
    <row r="229" spans="19:59">
      <c r="S229" s="89"/>
      <c r="T229" s="71"/>
      <c r="U229" s="8">
        <v>1990</v>
      </c>
      <c r="V229" s="9" t="s">
        <v>908</v>
      </c>
      <c r="W229" t="s">
        <v>909</v>
      </c>
      <c r="Y229" t="s">
        <v>910</v>
      </c>
      <c r="Z229" t="s">
        <v>911</v>
      </c>
      <c r="AA229" s="14">
        <v>-0.3</v>
      </c>
      <c r="AD229" s="28">
        <f t="shared" si="70"/>
        <v>0.17499999999999999</v>
      </c>
      <c r="AE229" s="28"/>
      <c r="AF229" s="28">
        <f t="shared" si="71"/>
        <v>0.17499999999999999</v>
      </c>
      <c r="AN229" s="27">
        <f t="shared" si="72"/>
        <v>0.19999999999999998</v>
      </c>
      <c r="AO229">
        <v>-0.7</v>
      </c>
      <c r="AZ229" s="24">
        <f t="shared" si="69"/>
        <v>5.8000000000000016</v>
      </c>
      <c r="BB229">
        <v>0.3</v>
      </c>
      <c r="BD229">
        <v>3</v>
      </c>
    </row>
    <row r="230" spans="19:59">
      <c r="S230" s="89"/>
      <c r="T230" s="71"/>
      <c r="U230" s="8">
        <v>2005</v>
      </c>
      <c r="V230" s="9" t="s">
        <v>912</v>
      </c>
      <c r="W230" t="s">
        <v>913</v>
      </c>
      <c r="Y230" t="s">
        <v>914</v>
      </c>
      <c r="Z230" t="s">
        <v>915</v>
      </c>
      <c r="AA230" s="14">
        <v>-0.3</v>
      </c>
      <c r="AD230" s="28">
        <f t="shared" si="70"/>
        <v>0.22499999999999998</v>
      </c>
      <c r="AE230" s="28"/>
      <c r="AF230" s="28">
        <f t="shared" si="71"/>
        <v>0.22499999999999998</v>
      </c>
      <c r="AN230" s="28">
        <f t="shared" si="72"/>
        <v>0.22499999999999998</v>
      </c>
      <c r="AO230">
        <v>-0.7</v>
      </c>
      <c r="AZ230" s="24">
        <f t="shared" si="69"/>
        <v>6.200000000000002</v>
      </c>
      <c r="BB230">
        <v>0.3</v>
      </c>
      <c r="BD230">
        <v>3</v>
      </c>
    </row>
    <row r="231" spans="19:59">
      <c r="S231" s="89"/>
      <c r="T231" s="71"/>
      <c r="U231" s="8">
        <v>2015</v>
      </c>
      <c r="V231" s="9" t="s">
        <v>916</v>
      </c>
      <c r="W231" t="s">
        <v>917</v>
      </c>
      <c r="Y231" t="s">
        <v>918</v>
      </c>
      <c r="Z231" t="s">
        <v>919</v>
      </c>
      <c r="AA231" s="14">
        <v>-0.3</v>
      </c>
      <c r="AD231" s="28">
        <f t="shared" si="70"/>
        <v>0.27499999999999997</v>
      </c>
      <c r="AE231" s="28"/>
      <c r="AF231" s="28">
        <f t="shared" si="71"/>
        <v>0.27499999999999997</v>
      </c>
      <c r="AN231" s="27">
        <f t="shared" si="72"/>
        <v>0.24999999999999997</v>
      </c>
      <c r="AO231">
        <v>-0.7</v>
      </c>
      <c r="AZ231" s="24">
        <f t="shared" si="69"/>
        <v>6.6000000000000023</v>
      </c>
      <c r="BB231">
        <v>0.3</v>
      </c>
      <c r="BD231">
        <v>3</v>
      </c>
    </row>
    <row r="232" spans="19:59">
      <c r="S232" s="89"/>
      <c r="T232" s="71"/>
      <c r="U232">
        <v>1960</v>
      </c>
      <c r="V232" t="s">
        <v>920</v>
      </c>
      <c r="W232" t="s">
        <v>897</v>
      </c>
      <c r="Y232" s="22" t="s">
        <v>921</v>
      </c>
      <c r="Z232" t="s">
        <v>922</v>
      </c>
      <c r="AA232" s="10">
        <v>-0.3</v>
      </c>
      <c r="AD232" s="28">
        <f>AD225+7.5%</f>
        <v>7.4999999999999997E-2</v>
      </c>
      <c r="AE232" s="28"/>
      <c r="AF232" s="28">
        <f>AF225+7.5%</f>
        <v>7.4999999999999997E-2</v>
      </c>
      <c r="AN232" s="28">
        <v>2.5000000000000001E-2</v>
      </c>
      <c r="AO232">
        <v>-0.6</v>
      </c>
      <c r="AZ232" s="24">
        <f>AZ225+0.8</f>
        <v>5</v>
      </c>
      <c r="BB232">
        <v>0.3</v>
      </c>
      <c r="BD232">
        <v>3</v>
      </c>
    </row>
    <row r="233" spans="19:59">
      <c r="S233" s="89"/>
      <c r="T233" s="71"/>
      <c r="U233">
        <v>1970</v>
      </c>
      <c r="V233" t="s">
        <v>923</v>
      </c>
      <c r="W233" t="s">
        <v>901</v>
      </c>
      <c r="Y233" s="22" t="s">
        <v>924</v>
      </c>
      <c r="Z233" t="s">
        <v>925</v>
      </c>
      <c r="AA233" s="10">
        <v>-0.3</v>
      </c>
      <c r="AD233" s="28">
        <f t="shared" ref="AD233:AF237" si="73">AD232+5%</f>
        <v>0.125</v>
      </c>
      <c r="AE233" s="28"/>
      <c r="AF233" s="28">
        <f t="shared" si="73"/>
        <v>0.125</v>
      </c>
      <c r="AN233" s="27">
        <f>AN232+2.5%</f>
        <v>0.05</v>
      </c>
      <c r="AO233">
        <v>-0.6</v>
      </c>
      <c r="AZ233" s="24">
        <f>AZ232+0.4</f>
        <v>5.4</v>
      </c>
      <c r="BB233">
        <v>0.3</v>
      </c>
      <c r="BD233">
        <v>3</v>
      </c>
    </row>
    <row r="234" spans="19:59">
      <c r="S234" s="89"/>
      <c r="T234" s="71"/>
      <c r="U234">
        <v>1980</v>
      </c>
      <c r="V234" t="s">
        <v>926</v>
      </c>
      <c r="W234" t="s">
        <v>905</v>
      </c>
      <c r="Y234" s="22" t="s">
        <v>927</v>
      </c>
      <c r="Z234" t="s">
        <v>928</v>
      </c>
      <c r="AA234" s="10">
        <v>-0.3</v>
      </c>
      <c r="AD234" s="28">
        <f t="shared" si="73"/>
        <v>0.17499999999999999</v>
      </c>
      <c r="AE234" s="28"/>
      <c r="AF234" s="28">
        <f t="shared" si="73"/>
        <v>0.17499999999999999</v>
      </c>
      <c r="AN234" s="28">
        <f t="shared" ref="AN234:AN237" si="74">AN233+2.5%</f>
        <v>7.5000000000000011E-2</v>
      </c>
      <c r="AO234">
        <v>-0.6</v>
      </c>
      <c r="AZ234" s="24">
        <f t="shared" ref="AZ234:AZ237" si="75">AZ233+0.4</f>
        <v>5.8000000000000007</v>
      </c>
      <c r="BB234">
        <v>0.3</v>
      </c>
      <c r="BD234">
        <v>3</v>
      </c>
    </row>
    <row r="235" spans="19:59">
      <c r="S235" s="89"/>
      <c r="T235" s="71"/>
      <c r="U235">
        <v>1990</v>
      </c>
      <c r="V235" t="s">
        <v>929</v>
      </c>
      <c r="W235" t="s">
        <v>909</v>
      </c>
      <c r="Y235" s="22" t="s">
        <v>930</v>
      </c>
      <c r="Z235" t="s">
        <v>931</v>
      </c>
      <c r="AA235" s="10">
        <v>-0.3</v>
      </c>
      <c r="AD235" s="28">
        <f t="shared" si="73"/>
        <v>0.22499999999999998</v>
      </c>
      <c r="AE235" s="28"/>
      <c r="AF235" s="28">
        <f t="shared" si="73"/>
        <v>0.22499999999999998</v>
      </c>
      <c r="AN235" s="27">
        <f t="shared" si="74"/>
        <v>0.1</v>
      </c>
      <c r="AO235">
        <v>-0.7</v>
      </c>
      <c r="AZ235" s="24">
        <f t="shared" si="75"/>
        <v>6.2000000000000011</v>
      </c>
      <c r="BB235">
        <v>0.3</v>
      </c>
      <c r="BD235">
        <v>3</v>
      </c>
    </row>
    <row r="236" spans="19:59">
      <c r="S236" s="89"/>
      <c r="T236" s="71"/>
      <c r="U236">
        <v>2005</v>
      </c>
      <c r="V236" t="s">
        <v>932</v>
      </c>
      <c r="W236" t="s">
        <v>913</v>
      </c>
      <c r="Y236" s="22" t="s">
        <v>933</v>
      </c>
      <c r="Z236" t="s">
        <v>934</v>
      </c>
      <c r="AA236" s="10">
        <v>-0.3</v>
      </c>
      <c r="AD236" s="28">
        <f t="shared" si="73"/>
        <v>0.27499999999999997</v>
      </c>
      <c r="AE236" s="28"/>
      <c r="AF236" s="28">
        <f t="shared" si="73"/>
        <v>0.27499999999999997</v>
      </c>
      <c r="AN236" s="28">
        <f t="shared" si="74"/>
        <v>0.125</v>
      </c>
      <c r="AO236">
        <v>-0.7</v>
      </c>
      <c r="AZ236" s="24">
        <f t="shared" si="75"/>
        <v>6.6000000000000014</v>
      </c>
      <c r="BB236">
        <v>0.3</v>
      </c>
      <c r="BD236">
        <v>3</v>
      </c>
    </row>
    <row r="237" spans="19:59">
      <c r="S237" s="89"/>
      <c r="T237" s="71"/>
      <c r="U237">
        <v>2015</v>
      </c>
      <c r="V237" t="s">
        <v>935</v>
      </c>
      <c r="W237" t="s">
        <v>917</v>
      </c>
      <c r="Y237" s="22" t="s">
        <v>936</v>
      </c>
      <c r="Z237" t="s">
        <v>937</v>
      </c>
      <c r="AA237" s="10">
        <v>-0.3</v>
      </c>
      <c r="AD237" s="28">
        <f t="shared" si="73"/>
        <v>0.32499999999999996</v>
      </c>
      <c r="AE237" s="28"/>
      <c r="AF237" s="28">
        <f t="shared" si="73"/>
        <v>0.32499999999999996</v>
      </c>
      <c r="AN237" s="27">
        <f t="shared" si="74"/>
        <v>0.15</v>
      </c>
      <c r="AO237">
        <v>-0.7</v>
      </c>
      <c r="AZ237" s="24">
        <f t="shared" si="75"/>
        <v>7.0000000000000018</v>
      </c>
      <c r="BB237">
        <v>0.3</v>
      </c>
      <c r="BD237">
        <v>3</v>
      </c>
    </row>
    <row r="238" spans="19:59">
      <c r="S238" s="89"/>
      <c r="AZ238" s="52"/>
    </row>
    <row r="239" spans="19:59">
      <c r="S239" s="89"/>
      <c r="T239" s="71" t="s">
        <v>938</v>
      </c>
      <c r="U239">
        <v>1942</v>
      </c>
      <c r="V239" t="s">
        <v>217</v>
      </c>
      <c r="W239" t="s">
        <v>217</v>
      </c>
      <c r="Y239" t="s">
        <v>939</v>
      </c>
      <c r="Z239" t="s">
        <v>940</v>
      </c>
      <c r="AA239" s="10">
        <v>-0.3</v>
      </c>
      <c r="AD239">
        <v>0</v>
      </c>
      <c r="AF239">
        <v>0</v>
      </c>
      <c r="AN239" s="27">
        <v>-0.05</v>
      </c>
      <c r="AO239">
        <v>-0.6</v>
      </c>
      <c r="AZ239" s="24">
        <v>6</v>
      </c>
      <c r="BB239">
        <v>0.4</v>
      </c>
      <c r="BD239">
        <v>3</v>
      </c>
    </row>
    <row r="240" spans="19:59">
      <c r="S240" s="89"/>
      <c r="T240" s="71"/>
      <c r="U240">
        <v>1944</v>
      </c>
      <c r="V240" t="s">
        <v>218</v>
      </c>
      <c r="W240" t="s">
        <v>218</v>
      </c>
      <c r="Y240" t="s">
        <v>941</v>
      </c>
      <c r="Z240" t="s">
        <v>942</v>
      </c>
      <c r="AA240" s="10">
        <v>-0.3</v>
      </c>
      <c r="AD240" s="27">
        <f t="shared" ref="AD240:AD242" si="76">AD239+5%</f>
        <v>0.05</v>
      </c>
      <c r="AF240" s="27">
        <f t="shared" ref="AF240:AF242" si="77">AF239+5%</f>
        <v>0.05</v>
      </c>
      <c r="AN240">
        <v>0</v>
      </c>
      <c r="AO240">
        <v>-0.6</v>
      </c>
      <c r="AZ240" s="24">
        <f>AZ239+0.5</f>
        <v>6.5</v>
      </c>
      <c r="BB240">
        <v>0.4</v>
      </c>
      <c r="BD240">
        <v>3</v>
      </c>
    </row>
    <row r="241" spans="19:56">
      <c r="S241" s="89"/>
      <c r="T241" s="71"/>
      <c r="U241">
        <v>1950</v>
      </c>
      <c r="V241" t="s">
        <v>219</v>
      </c>
      <c r="W241" t="s">
        <v>219</v>
      </c>
      <c r="Y241" t="s">
        <v>943</v>
      </c>
      <c r="Z241" t="s">
        <v>944</v>
      </c>
      <c r="AA241" s="10">
        <v>-0.3</v>
      </c>
      <c r="AD241" s="27">
        <f t="shared" si="76"/>
        <v>0.1</v>
      </c>
      <c r="AF241" s="27">
        <f t="shared" si="77"/>
        <v>0.1</v>
      </c>
      <c r="AN241" s="27">
        <v>0.15</v>
      </c>
      <c r="AO241">
        <v>-0.7</v>
      </c>
      <c r="AZ241" s="24">
        <f t="shared" ref="AZ241:AZ242" si="78">AZ240+0.5</f>
        <v>7</v>
      </c>
      <c r="BB241">
        <v>0.4</v>
      </c>
      <c r="BD241">
        <v>3</v>
      </c>
    </row>
    <row r="242" spans="19:56">
      <c r="S242" s="89"/>
      <c r="T242" s="71"/>
      <c r="U242">
        <v>1955</v>
      </c>
      <c r="V242" t="s">
        <v>220</v>
      </c>
      <c r="W242" t="s">
        <v>220</v>
      </c>
      <c r="Y242" t="s">
        <v>945</v>
      </c>
      <c r="Z242" t="s">
        <v>946</v>
      </c>
      <c r="AA242" s="10">
        <v>-0.35</v>
      </c>
      <c r="AD242" s="27">
        <f t="shared" si="76"/>
        <v>0.15000000000000002</v>
      </c>
      <c r="AF242" s="27">
        <f t="shared" si="77"/>
        <v>0.15000000000000002</v>
      </c>
      <c r="AN242" s="27">
        <v>0.2</v>
      </c>
      <c r="AO242">
        <v>-0.7</v>
      </c>
      <c r="AZ242" s="24">
        <f t="shared" si="78"/>
        <v>7.5</v>
      </c>
      <c r="BB242">
        <v>0.4</v>
      </c>
      <c r="BD242">
        <v>3</v>
      </c>
    </row>
    <row r="243" spans="19:56">
      <c r="S243" s="89"/>
      <c r="T243" s="66"/>
    </row>
    <row r="244" spans="19:56">
      <c r="S244" s="89"/>
      <c r="T244" s="66" t="s">
        <v>947</v>
      </c>
      <c r="U244">
        <v>1955</v>
      </c>
      <c r="V244" t="s">
        <v>223</v>
      </c>
      <c r="W244" t="s">
        <v>223</v>
      </c>
      <c r="Y244" t="s">
        <v>948</v>
      </c>
      <c r="Z244" t="s">
        <v>949</v>
      </c>
      <c r="AA244" s="10">
        <v>-0.4</v>
      </c>
      <c r="AD244" s="27">
        <v>0.25</v>
      </c>
      <c r="AF244" s="27">
        <v>0.25</v>
      </c>
      <c r="AN244" s="27">
        <v>0.35</v>
      </c>
      <c r="AO244">
        <v>-1.2</v>
      </c>
      <c r="AZ244" s="24">
        <v>8</v>
      </c>
      <c r="BB244">
        <v>0.5</v>
      </c>
      <c r="BD244">
        <v>5</v>
      </c>
    </row>
    <row r="245" spans="19:56">
      <c r="S245" s="89"/>
      <c r="T245" s="66"/>
    </row>
    <row r="246" spans="19:56">
      <c r="S246" s="89"/>
      <c r="T246" s="66" t="s">
        <v>225</v>
      </c>
      <c r="U246">
        <v>1960</v>
      </c>
      <c r="V246" t="s">
        <v>225</v>
      </c>
      <c r="W246" t="s">
        <v>225</v>
      </c>
      <c r="Y246" t="s">
        <v>225</v>
      </c>
      <c r="Z246" t="s">
        <v>950</v>
      </c>
      <c r="AA246" s="27">
        <v>-0.3</v>
      </c>
      <c r="AD246" s="28">
        <v>0.125</v>
      </c>
      <c r="AF246" s="28">
        <v>0.125</v>
      </c>
      <c r="AN246" s="27">
        <v>0.2</v>
      </c>
      <c r="AO246">
        <v>-0.6</v>
      </c>
      <c r="AZ246" s="24">
        <v>5.2</v>
      </c>
      <c r="BB246">
        <v>0.3</v>
      </c>
      <c r="BD246">
        <v>2</v>
      </c>
    </row>
    <row r="247" spans="19:56">
      <c r="S247" s="89"/>
      <c r="T247" s="66"/>
    </row>
    <row r="248" spans="19:56">
      <c r="S248" s="89"/>
      <c r="T248" s="71" t="s">
        <v>951</v>
      </c>
      <c r="U248">
        <v>1990</v>
      </c>
      <c r="V248" t="s">
        <v>228</v>
      </c>
      <c r="W248" t="s">
        <v>228</v>
      </c>
      <c r="Y248" t="s">
        <v>952</v>
      </c>
      <c r="Z248" t="s">
        <v>953</v>
      </c>
      <c r="AA248" s="27">
        <v>-0.4</v>
      </c>
      <c r="AD248" s="27">
        <v>0.25</v>
      </c>
      <c r="AE248" s="27"/>
      <c r="AF248" s="27">
        <v>0.25</v>
      </c>
      <c r="AN248" s="27">
        <v>0.4</v>
      </c>
      <c r="AO248">
        <v>-0.8</v>
      </c>
      <c r="AZ248" s="24">
        <v>7.5</v>
      </c>
      <c r="BB248">
        <v>0.3</v>
      </c>
      <c r="BD248">
        <v>4</v>
      </c>
    </row>
    <row r="249" spans="19:56">
      <c r="S249" s="89"/>
      <c r="T249" s="71"/>
      <c r="U249">
        <v>2000</v>
      </c>
      <c r="V249" t="s">
        <v>229</v>
      </c>
      <c r="W249" t="s">
        <v>229</v>
      </c>
      <c r="Y249" t="s">
        <v>954</v>
      </c>
      <c r="Z249" t="s">
        <v>955</v>
      </c>
      <c r="AA249" s="27">
        <v>-0.35</v>
      </c>
      <c r="AD249" s="27">
        <f>AD248+5%</f>
        <v>0.3</v>
      </c>
      <c r="AE249" s="27"/>
      <c r="AF249" s="27">
        <f>AF248+5%</f>
        <v>0.3</v>
      </c>
      <c r="AN249" s="27">
        <v>0.45</v>
      </c>
      <c r="AO249">
        <v>-0.8</v>
      </c>
      <c r="AZ249" s="24">
        <f>AZ248+0.6</f>
        <v>8.1</v>
      </c>
      <c r="BB249">
        <v>0.3</v>
      </c>
      <c r="BD249">
        <v>4</v>
      </c>
    </row>
    <row r="250" spans="19:56">
      <c r="S250" s="89"/>
      <c r="T250" s="71"/>
      <c r="U250">
        <v>2010</v>
      </c>
      <c r="V250" t="s">
        <v>230</v>
      </c>
      <c r="W250" t="s">
        <v>230</v>
      </c>
      <c r="Y250" t="s">
        <v>956</v>
      </c>
      <c r="Z250" t="s">
        <v>957</v>
      </c>
      <c r="AA250" s="27">
        <v>-0.35</v>
      </c>
      <c r="AD250" s="27">
        <f>AD249+5%</f>
        <v>0.35</v>
      </c>
      <c r="AE250" s="27"/>
      <c r="AF250" s="27">
        <f>AF249+5%</f>
        <v>0.35</v>
      </c>
      <c r="AN250" s="27">
        <v>0.5</v>
      </c>
      <c r="AO250">
        <v>-0.8</v>
      </c>
      <c r="AZ250" s="24">
        <f>AZ249+0.6</f>
        <v>8.6999999999999993</v>
      </c>
      <c r="BB250">
        <v>0.3</v>
      </c>
      <c r="BD250">
        <v>4</v>
      </c>
    </row>
    <row r="251" spans="19:56">
      <c r="S251" s="89"/>
    </row>
    <row r="252" spans="19:56">
      <c r="S252" s="89"/>
      <c r="T252" s="71" t="s">
        <v>231</v>
      </c>
      <c r="U252">
        <v>1950</v>
      </c>
      <c r="V252" t="s">
        <v>232</v>
      </c>
      <c r="W252" t="s">
        <v>232</v>
      </c>
      <c r="Y252" t="s">
        <v>958</v>
      </c>
      <c r="Z252" t="s">
        <v>959</v>
      </c>
      <c r="AA252" s="27">
        <v>-0.1</v>
      </c>
      <c r="AD252" s="27">
        <v>-0.35</v>
      </c>
      <c r="AF252" s="27">
        <v>-0.35</v>
      </c>
      <c r="AN252" s="27">
        <v>-0.2</v>
      </c>
      <c r="AO252">
        <v>-0.2</v>
      </c>
      <c r="AZ252" s="24">
        <v>2</v>
      </c>
      <c r="BB252">
        <v>0.2</v>
      </c>
      <c r="BD252">
        <v>1</v>
      </c>
    </row>
    <row r="253" spans="19:56">
      <c r="S253" s="89"/>
      <c r="T253" s="71"/>
      <c r="U253">
        <v>1960</v>
      </c>
      <c r="V253" s="7" t="s">
        <v>234</v>
      </c>
      <c r="W253" s="7" t="s">
        <v>234</v>
      </c>
      <c r="Y253" t="s">
        <v>960</v>
      </c>
      <c r="Z253" t="s">
        <v>961</v>
      </c>
      <c r="AA253" s="27">
        <v>-0.1</v>
      </c>
      <c r="AD253" s="27">
        <f>AD252+5%</f>
        <v>-0.3</v>
      </c>
      <c r="AF253" s="27">
        <f t="shared" ref="AF253:AF255" si="79">AF252+5%</f>
        <v>-0.3</v>
      </c>
      <c r="AN253" s="28">
        <v>-0.185</v>
      </c>
      <c r="AO253">
        <v>-0.2</v>
      </c>
      <c r="AZ253" s="24">
        <f>AZ252+0.3</f>
        <v>2.2999999999999998</v>
      </c>
      <c r="BB253">
        <v>0.2</v>
      </c>
      <c r="BD253">
        <v>1</v>
      </c>
    </row>
    <row r="254" spans="19:56">
      <c r="S254" s="89"/>
      <c r="T254" s="71"/>
      <c r="U254">
        <v>1970</v>
      </c>
      <c r="V254" s="7" t="s">
        <v>235</v>
      </c>
      <c r="W254" s="7" t="s">
        <v>235</v>
      </c>
      <c r="Y254" t="s">
        <v>962</v>
      </c>
      <c r="Z254" t="s">
        <v>963</v>
      </c>
      <c r="AA254" s="27">
        <v>-0.1</v>
      </c>
      <c r="AD254" s="27">
        <f t="shared" ref="AD254:AD255" si="80">AD253+5%</f>
        <v>-0.25</v>
      </c>
      <c r="AF254" s="27">
        <f t="shared" si="79"/>
        <v>-0.25</v>
      </c>
      <c r="AN254" s="27">
        <v>-0.17</v>
      </c>
      <c r="AO254">
        <v>-0.2</v>
      </c>
      <c r="AZ254" s="24">
        <f t="shared" ref="AZ254:AZ255" si="81">AZ253+0.3</f>
        <v>2.5999999999999996</v>
      </c>
      <c r="BB254">
        <v>0.2</v>
      </c>
      <c r="BD254">
        <v>1</v>
      </c>
    </row>
    <row r="255" spans="19:56">
      <c r="S255" s="89"/>
      <c r="T255" s="71"/>
      <c r="U255">
        <v>1990</v>
      </c>
      <c r="V255" t="s">
        <v>236</v>
      </c>
      <c r="W255" t="s">
        <v>236</v>
      </c>
      <c r="Y255" t="s">
        <v>964</v>
      </c>
      <c r="Z255" t="s">
        <v>965</v>
      </c>
      <c r="AA255" s="27">
        <v>-0.1</v>
      </c>
      <c r="AD255" s="27">
        <f t="shared" si="80"/>
        <v>-0.2</v>
      </c>
      <c r="AF255" s="27">
        <f t="shared" si="79"/>
        <v>-0.2</v>
      </c>
      <c r="AN255" s="27">
        <v>-0.14000000000000001</v>
      </c>
      <c r="AO255">
        <v>-0.3</v>
      </c>
      <c r="AZ255" s="24">
        <f t="shared" si="81"/>
        <v>2.8999999999999995</v>
      </c>
      <c r="BB255">
        <v>0.2</v>
      </c>
      <c r="BD255">
        <v>1</v>
      </c>
    </row>
    <row r="258" spans="19:59">
      <c r="S258" s="77" t="s">
        <v>471</v>
      </c>
      <c r="T258" s="77" t="s">
        <v>2</v>
      </c>
      <c r="U258" s="77" t="s">
        <v>3</v>
      </c>
      <c r="V258" s="77" t="s">
        <v>472</v>
      </c>
      <c r="W258" s="77" t="s">
        <v>473</v>
      </c>
      <c r="X258" s="86" t="s">
        <v>240</v>
      </c>
      <c r="Y258" s="87"/>
      <c r="Z258" s="77" t="s">
        <v>474</v>
      </c>
      <c r="AA258" s="79" t="s">
        <v>121</v>
      </c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80"/>
      <c r="AP258" s="80"/>
      <c r="AQ258" s="80"/>
      <c r="AR258" s="80"/>
      <c r="AS258" s="80"/>
      <c r="AT258" s="80"/>
      <c r="AU258" s="80"/>
      <c r="AV258" s="80"/>
      <c r="AW258" s="80"/>
      <c r="AX258" s="80"/>
      <c r="AY258" s="80"/>
      <c r="AZ258" s="80"/>
      <c r="BA258" s="80"/>
      <c r="BB258" s="81"/>
      <c r="BC258" s="82" t="s">
        <v>241</v>
      </c>
      <c r="BD258" s="83"/>
      <c r="BE258" s="83"/>
      <c r="BF258" s="83"/>
      <c r="BG258" s="84"/>
    </row>
    <row r="259" spans="19:59">
      <c r="S259" s="78"/>
      <c r="T259" s="78"/>
      <c r="U259" s="78"/>
      <c r="V259" s="78"/>
      <c r="W259" s="78"/>
      <c r="X259" s="68" t="s">
        <v>477</v>
      </c>
      <c r="Y259" s="68" t="s">
        <v>243</v>
      </c>
      <c r="Z259" s="78"/>
      <c r="AA259" s="46" t="s">
        <v>244</v>
      </c>
      <c r="AB259" s="46" t="s">
        <v>245</v>
      </c>
      <c r="AC259" s="46" t="s">
        <v>124</v>
      </c>
      <c r="AD259" s="46" t="s">
        <v>246</v>
      </c>
      <c r="AE259" s="46" t="s">
        <v>125</v>
      </c>
      <c r="AF259" s="46" t="s">
        <v>247</v>
      </c>
      <c r="AG259" s="46" t="s">
        <v>248</v>
      </c>
      <c r="AH259" s="46" t="s">
        <v>249</v>
      </c>
      <c r="AI259" s="46" t="s">
        <v>250</v>
      </c>
      <c r="AJ259" s="46" t="s">
        <v>251</v>
      </c>
      <c r="AK259" s="46" t="s">
        <v>8</v>
      </c>
      <c r="AL259" s="46" t="s">
        <v>253</v>
      </c>
      <c r="AM259" s="46" t="s">
        <v>126</v>
      </c>
      <c r="AN259" s="46" t="s">
        <v>478</v>
      </c>
      <c r="AO259" s="46" t="s">
        <v>127</v>
      </c>
      <c r="AP259" s="46" t="s">
        <v>252</v>
      </c>
      <c r="AQ259" s="46" t="s">
        <v>112</v>
      </c>
      <c r="AR259" s="46" t="s">
        <v>343</v>
      </c>
      <c r="AS259" s="53" t="s">
        <v>479</v>
      </c>
      <c r="AT259" s="46" t="s">
        <v>254</v>
      </c>
      <c r="AU259" s="46" t="s">
        <v>255</v>
      </c>
      <c r="AV259" s="46" t="s">
        <v>256</v>
      </c>
      <c r="AW259" s="46" t="s">
        <v>257</v>
      </c>
      <c r="AX259" s="46" t="s">
        <v>480</v>
      </c>
      <c r="AY259" s="46" t="s">
        <v>481</v>
      </c>
      <c r="AZ259" s="47" t="s">
        <v>9</v>
      </c>
      <c r="BA259" s="46" t="s">
        <v>258</v>
      </c>
      <c r="BB259" s="46" t="s">
        <v>259</v>
      </c>
      <c r="BC259" s="46" t="s">
        <v>260</v>
      </c>
      <c r="BD259" s="46" t="s">
        <v>261</v>
      </c>
      <c r="BE259" s="46" t="s">
        <v>262</v>
      </c>
      <c r="BF259" s="46" t="s">
        <v>263</v>
      </c>
      <c r="BG259" s="46" t="s">
        <v>264</v>
      </c>
    </row>
    <row r="260" spans="19:59">
      <c r="S260" t="s">
        <v>966</v>
      </c>
      <c r="T260" s="85" t="s">
        <v>967</v>
      </c>
      <c r="U260">
        <v>1939</v>
      </c>
      <c r="V260" t="s">
        <v>968</v>
      </c>
      <c r="W260" t="s">
        <v>968</v>
      </c>
      <c r="Y260" t="s">
        <v>969</v>
      </c>
      <c r="Z260" t="s">
        <v>1096</v>
      </c>
      <c r="AC260">
        <v>20</v>
      </c>
      <c r="AM260" s="15">
        <v>150</v>
      </c>
      <c r="AZ260">
        <v>0.25</v>
      </c>
      <c r="BB260">
        <v>0.05</v>
      </c>
    </row>
    <row r="261" spans="19:59">
      <c r="T261" s="71"/>
      <c r="U261">
        <v>1942</v>
      </c>
      <c r="V261" t="s">
        <v>971</v>
      </c>
      <c r="W261" t="s">
        <v>971</v>
      </c>
      <c r="Y261" t="s">
        <v>972</v>
      </c>
      <c r="Z261" t="s">
        <v>1097</v>
      </c>
      <c r="AC261">
        <f>AC260+10</f>
        <v>30</v>
      </c>
      <c r="AM261">
        <f>AM260+50</f>
        <v>200</v>
      </c>
      <c r="AZ261">
        <f>AZ260+0.25</f>
        <v>0.5</v>
      </c>
      <c r="BB261">
        <v>0.05</v>
      </c>
    </row>
    <row r="262" spans="19:59">
      <c r="T262" s="71"/>
      <c r="U262">
        <v>1950</v>
      </c>
      <c r="V262" t="s">
        <v>974</v>
      </c>
      <c r="W262" t="s">
        <v>974</v>
      </c>
      <c r="Y262" t="s">
        <v>975</v>
      </c>
      <c r="Z262" t="s">
        <v>1098</v>
      </c>
      <c r="AC262">
        <f t="shared" ref="AC262:AC268" si="82">AC261+10</f>
        <v>40</v>
      </c>
      <c r="AM262">
        <f>AM261+50</f>
        <v>250</v>
      </c>
      <c r="AZ262">
        <f t="shared" ref="AZ262:AZ268" si="83">AZ261+0.25</f>
        <v>0.75</v>
      </c>
      <c r="BB262">
        <v>0.05</v>
      </c>
    </row>
    <row r="263" spans="19:59">
      <c r="T263" s="71"/>
      <c r="U263">
        <v>1960</v>
      </c>
      <c r="V263" t="s">
        <v>977</v>
      </c>
      <c r="W263" t="s">
        <v>977</v>
      </c>
      <c r="Y263" t="s">
        <v>978</v>
      </c>
      <c r="Z263" t="s">
        <v>1099</v>
      </c>
      <c r="AC263">
        <f t="shared" si="82"/>
        <v>50</v>
      </c>
      <c r="AM263">
        <f>AM262+50</f>
        <v>300</v>
      </c>
      <c r="AZ263">
        <f t="shared" si="83"/>
        <v>1</v>
      </c>
      <c r="BB263">
        <v>0.05</v>
      </c>
    </row>
    <row r="264" spans="19:59">
      <c r="T264" s="71"/>
      <c r="U264">
        <v>1970</v>
      </c>
      <c r="V264" t="s">
        <v>980</v>
      </c>
      <c r="W264" t="s">
        <v>980</v>
      </c>
      <c r="Y264" t="s">
        <v>981</v>
      </c>
      <c r="Z264" t="s">
        <v>1100</v>
      </c>
      <c r="AC264">
        <f t="shared" si="82"/>
        <v>60</v>
      </c>
      <c r="AM264">
        <f>AM263+75</f>
        <v>375</v>
      </c>
      <c r="AZ264">
        <f t="shared" si="83"/>
        <v>1.25</v>
      </c>
      <c r="BB264">
        <v>0.05</v>
      </c>
    </row>
    <row r="265" spans="19:59">
      <c r="T265" s="71"/>
      <c r="U265">
        <v>1980</v>
      </c>
      <c r="V265" t="s">
        <v>983</v>
      </c>
      <c r="W265" t="s">
        <v>983</v>
      </c>
      <c r="Y265" t="s">
        <v>984</v>
      </c>
      <c r="Z265" t="s">
        <v>1101</v>
      </c>
      <c r="AC265">
        <f t="shared" si="82"/>
        <v>70</v>
      </c>
      <c r="AM265">
        <f>AM264+75</f>
        <v>450</v>
      </c>
      <c r="AZ265">
        <f t="shared" si="83"/>
        <v>1.5</v>
      </c>
      <c r="BB265">
        <v>0.05</v>
      </c>
    </row>
    <row r="266" spans="19:59">
      <c r="T266" s="71"/>
      <c r="U266">
        <v>1990</v>
      </c>
      <c r="V266" t="s">
        <v>986</v>
      </c>
      <c r="W266" t="s">
        <v>986</v>
      </c>
      <c r="Y266" t="s">
        <v>987</v>
      </c>
      <c r="Z266" t="s">
        <v>1102</v>
      </c>
      <c r="AC266">
        <f t="shared" si="82"/>
        <v>80</v>
      </c>
      <c r="AM266">
        <f>AM265+100</f>
        <v>550</v>
      </c>
      <c r="AZ266">
        <f t="shared" si="83"/>
        <v>1.75</v>
      </c>
      <c r="BB266">
        <v>0.05</v>
      </c>
    </row>
    <row r="267" spans="19:59">
      <c r="T267" s="71"/>
      <c r="U267">
        <v>2000</v>
      </c>
      <c r="V267" t="s">
        <v>989</v>
      </c>
      <c r="W267" t="s">
        <v>989</v>
      </c>
      <c r="Y267" t="s">
        <v>990</v>
      </c>
      <c r="Z267" t="s">
        <v>1103</v>
      </c>
      <c r="AC267">
        <f t="shared" si="82"/>
        <v>90</v>
      </c>
      <c r="AM267">
        <f t="shared" ref="AM267" si="84">AM266+100</f>
        <v>650</v>
      </c>
      <c r="AZ267">
        <f t="shared" si="83"/>
        <v>2</v>
      </c>
      <c r="BB267">
        <v>0.05</v>
      </c>
    </row>
    <row r="268" spans="19:59">
      <c r="T268" s="71"/>
      <c r="U268">
        <v>2015</v>
      </c>
      <c r="V268" t="s">
        <v>992</v>
      </c>
      <c r="W268" t="s">
        <v>992</v>
      </c>
      <c r="Y268" t="s">
        <v>993</v>
      </c>
      <c r="Z268" t="s">
        <v>1104</v>
      </c>
      <c r="AC268">
        <f t="shared" si="82"/>
        <v>100</v>
      </c>
      <c r="AM268">
        <f>AM267+125</f>
        <v>775</v>
      </c>
      <c r="AZ268">
        <f t="shared" si="83"/>
        <v>2.25</v>
      </c>
      <c r="BB268">
        <v>0.05</v>
      </c>
    </row>
    <row r="270" spans="19:59">
      <c r="T270" s="71" t="s">
        <v>995</v>
      </c>
      <c r="U270">
        <v>1980</v>
      </c>
      <c r="V270" t="s">
        <v>996</v>
      </c>
      <c r="W270" t="s">
        <v>996</v>
      </c>
      <c r="Y270" t="s">
        <v>997</v>
      </c>
      <c r="Z270" t="s">
        <v>1105</v>
      </c>
      <c r="AC270">
        <f>AC265+8</f>
        <v>78</v>
      </c>
      <c r="AM270">
        <v>500</v>
      </c>
      <c r="AZ270">
        <f>AZ265+0.3</f>
        <v>1.8</v>
      </c>
      <c r="BB270">
        <v>0.05</v>
      </c>
    </row>
    <row r="271" spans="19:59">
      <c r="T271" s="71"/>
      <c r="U271">
        <v>1990</v>
      </c>
      <c r="V271" t="s">
        <v>999</v>
      </c>
      <c r="W271" t="s">
        <v>999</v>
      </c>
      <c r="Y271" t="s">
        <v>1000</v>
      </c>
      <c r="Z271" t="s">
        <v>1106</v>
      </c>
      <c r="AC271">
        <f t="shared" ref="AC271:AC273" si="85">AC266+8</f>
        <v>88</v>
      </c>
      <c r="AM271">
        <f>AM270+100</f>
        <v>600</v>
      </c>
      <c r="AZ271">
        <f t="shared" ref="AZ271:AZ273" si="86">AZ266+0.3</f>
        <v>2.0499999999999998</v>
      </c>
      <c r="BB271">
        <v>0.05</v>
      </c>
    </row>
    <row r="272" spans="19:59">
      <c r="T272" s="71"/>
      <c r="U272">
        <v>2000</v>
      </c>
      <c r="V272" t="s">
        <v>1002</v>
      </c>
      <c r="W272" t="s">
        <v>1002</v>
      </c>
      <c r="Y272" t="s">
        <v>1003</v>
      </c>
      <c r="Z272" t="s">
        <v>1107</v>
      </c>
      <c r="AC272">
        <f t="shared" si="85"/>
        <v>98</v>
      </c>
      <c r="AM272">
        <f t="shared" ref="AM272" si="87">AM271+100</f>
        <v>700</v>
      </c>
      <c r="AZ272">
        <f t="shared" si="86"/>
        <v>2.2999999999999998</v>
      </c>
      <c r="BB272">
        <v>0.05</v>
      </c>
    </row>
    <row r="273" spans="20:54">
      <c r="T273" s="71"/>
      <c r="U273">
        <v>2015</v>
      </c>
      <c r="V273" t="s">
        <v>1005</v>
      </c>
      <c r="W273" t="s">
        <v>1005</v>
      </c>
      <c r="Y273" t="s">
        <v>1006</v>
      </c>
      <c r="Z273" t="s">
        <v>1108</v>
      </c>
      <c r="AC273">
        <f t="shared" si="85"/>
        <v>108</v>
      </c>
      <c r="AM273">
        <f>AM272+125</f>
        <v>825</v>
      </c>
      <c r="AZ273">
        <f t="shared" si="86"/>
        <v>2.5499999999999998</v>
      </c>
      <c r="BB273">
        <v>0.05</v>
      </c>
    </row>
    <row r="274" spans="20:54">
      <c r="T274" s="66"/>
    </row>
    <row r="275" spans="20:54">
      <c r="T275" s="71" t="s">
        <v>1008</v>
      </c>
      <c r="U275">
        <v>1942</v>
      </c>
      <c r="V275" t="s">
        <v>1009</v>
      </c>
      <c r="W275" t="s">
        <v>1010</v>
      </c>
      <c r="Y275" t="s">
        <v>1011</v>
      </c>
      <c r="Z275" t="s">
        <v>1109</v>
      </c>
      <c r="AC275">
        <v>25</v>
      </c>
      <c r="AE275">
        <v>5</v>
      </c>
      <c r="AM275" s="51">
        <v>200</v>
      </c>
      <c r="AZ275">
        <f>AZ260*3</f>
        <v>0.75</v>
      </c>
      <c r="BB275">
        <v>0.05</v>
      </c>
    </row>
    <row r="276" spans="20:54">
      <c r="T276" s="71"/>
      <c r="U276">
        <v>1950</v>
      </c>
      <c r="V276" t="s">
        <v>1013</v>
      </c>
      <c r="W276" t="s">
        <v>1013</v>
      </c>
      <c r="Y276" t="s">
        <v>1014</v>
      </c>
      <c r="Z276" t="s">
        <v>1110</v>
      </c>
      <c r="AC276">
        <f>AC275+10</f>
        <v>35</v>
      </c>
      <c r="AE276">
        <f>AE275+2.5</f>
        <v>7.5</v>
      </c>
      <c r="AM276" s="52">
        <v>300</v>
      </c>
      <c r="AZ276">
        <f>AZ275+0.25</f>
        <v>1</v>
      </c>
      <c r="BB276">
        <v>0.05</v>
      </c>
    </row>
    <row r="277" spans="20:54">
      <c r="T277" s="71"/>
      <c r="U277">
        <v>1960</v>
      </c>
      <c r="V277" t="s">
        <v>1016</v>
      </c>
      <c r="W277" t="s">
        <v>1016</v>
      </c>
      <c r="Y277" t="s">
        <v>1017</v>
      </c>
      <c r="Z277" t="s">
        <v>1111</v>
      </c>
      <c r="AC277">
        <f t="shared" ref="AC277:AC281" si="88">AC276+10</f>
        <v>45</v>
      </c>
      <c r="AE277">
        <f t="shared" ref="AE277:AE281" si="89">AE276+2.5</f>
        <v>10</v>
      </c>
      <c r="AM277" s="52">
        <v>400</v>
      </c>
      <c r="AZ277">
        <f t="shared" ref="AZ277:AZ281" si="90">AZ276+0.25</f>
        <v>1.25</v>
      </c>
      <c r="BB277">
        <v>0.05</v>
      </c>
    </row>
    <row r="278" spans="20:54">
      <c r="T278" s="71"/>
      <c r="U278">
        <v>1970</v>
      </c>
      <c r="V278" t="s">
        <v>1019</v>
      </c>
      <c r="W278" t="s">
        <v>1019</v>
      </c>
      <c r="Y278" t="s">
        <v>1020</v>
      </c>
      <c r="Z278" t="s">
        <v>1112</v>
      </c>
      <c r="AC278">
        <f t="shared" si="88"/>
        <v>55</v>
      </c>
      <c r="AE278">
        <f t="shared" si="89"/>
        <v>12.5</v>
      </c>
      <c r="AM278" s="52">
        <v>415</v>
      </c>
      <c r="AZ278">
        <f t="shared" si="90"/>
        <v>1.5</v>
      </c>
      <c r="BB278">
        <v>0.05</v>
      </c>
    </row>
    <row r="279" spans="20:54">
      <c r="T279" s="71"/>
      <c r="U279">
        <v>1980</v>
      </c>
      <c r="V279" t="s">
        <v>1022</v>
      </c>
      <c r="W279" t="s">
        <v>1022</v>
      </c>
      <c r="Y279" t="s">
        <v>1023</v>
      </c>
      <c r="Z279" t="s">
        <v>1113</v>
      </c>
      <c r="AC279">
        <f t="shared" si="88"/>
        <v>65</v>
      </c>
      <c r="AE279">
        <f t="shared" si="89"/>
        <v>15</v>
      </c>
      <c r="AM279" s="52">
        <v>430</v>
      </c>
      <c r="AZ279">
        <f t="shared" si="90"/>
        <v>1.75</v>
      </c>
      <c r="BB279">
        <v>0.05</v>
      </c>
    </row>
    <row r="280" spans="20:54">
      <c r="T280" s="71"/>
      <c r="U280">
        <v>1990</v>
      </c>
      <c r="V280" t="s">
        <v>1025</v>
      </c>
      <c r="W280" t="s">
        <v>1025</v>
      </c>
      <c r="Y280" t="s">
        <v>1026</v>
      </c>
      <c r="Z280" t="s">
        <v>1114</v>
      </c>
      <c r="AC280">
        <f>AC279+10</f>
        <v>75</v>
      </c>
      <c r="AE280">
        <f t="shared" si="89"/>
        <v>17.5</v>
      </c>
      <c r="AM280" s="52">
        <v>445</v>
      </c>
      <c r="AZ280">
        <f t="shared" si="90"/>
        <v>2</v>
      </c>
      <c r="BB280">
        <v>0.05</v>
      </c>
    </row>
    <row r="281" spans="20:54">
      <c r="T281" s="71"/>
      <c r="U281">
        <v>2000</v>
      </c>
      <c r="V281" t="s">
        <v>1028</v>
      </c>
      <c r="W281" t="s">
        <v>1028</v>
      </c>
      <c r="Y281" t="s">
        <v>1029</v>
      </c>
      <c r="Z281" t="s">
        <v>1115</v>
      </c>
      <c r="AC281">
        <f t="shared" si="88"/>
        <v>85</v>
      </c>
      <c r="AE281">
        <f t="shared" si="89"/>
        <v>20</v>
      </c>
      <c r="AM281" s="52">
        <v>460</v>
      </c>
      <c r="AZ281">
        <f t="shared" si="90"/>
        <v>2.25</v>
      </c>
      <c r="BB281">
        <v>0.05</v>
      </c>
    </row>
    <row r="282" spans="20:54">
      <c r="T282" s="66"/>
    </row>
    <row r="283" spans="20:54">
      <c r="T283" s="71" t="s">
        <v>1031</v>
      </c>
      <c r="U283">
        <v>1985</v>
      </c>
      <c r="V283" t="s">
        <v>1032</v>
      </c>
      <c r="W283" t="s">
        <v>1032</v>
      </c>
      <c r="Y283" t="s">
        <v>1033</v>
      </c>
      <c r="Z283" t="s">
        <v>1116</v>
      </c>
      <c r="AC283">
        <f>AC279+2</f>
        <v>67</v>
      </c>
      <c r="AE283">
        <v>12.5</v>
      </c>
      <c r="AM283">
        <v>475</v>
      </c>
      <c r="AZ283">
        <f>AZ279+0.3</f>
        <v>2.0499999999999998</v>
      </c>
      <c r="BB283">
        <v>0.05</v>
      </c>
    </row>
    <row r="284" spans="20:54">
      <c r="T284" s="71"/>
      <c r="U284">
        <v>1995</v>
      </c>
      <c r="V284" t="s">
        <v>1035</v>
      </c>
      <c r="W284" t="s">
        <v>1035</v>
      </c>
      <c r="Y284" t="s">
        <v>1036</v>
      </c>
      <c r="Z284" t="s">
        <v>1117</v>
      </c>
      <c r="AC284">
        <f t="shared" ref="AC284:AC285" si="91">AC280+2</f>
        <v>77</v>
      </c>
      <c r="AE284">
        <f>AE283+2.5</f>
        <v>15</v>
      </c>
      <c r="AM284">
        <v>490</v>
      </c>
      <c r="AZ284">
        <f>AZ283+0.25</f>
        <v>2.2999999999999998</v>
      </c>
      <c r="BB284">
        <v>0.05</v>
      </c>
    </row>
    <row r="285" spans="20:54">
      <c r="T285" s="71"/>
      <c r="U285">
        <v>2005</v>
      </c>
      <c r="V285" t="s">
        <v>1038</v>
      </c>
      <c r="W285" t="s">
        <v>1038</v>
      </c>
      <c r="Y285" t="s">
        <v>1039</v>
      </c>
      <c r="Z285" t="s">
        <v>1118</v>
      </c>
      <c r="AC285">
        <f t="shared" si="91"/>
        <v>87</v>
      </c>
      <c r="AE285">
        <f t="shared" ref="AE285" si="92">AE284+2.5</f>
        <v>17.5</v>
      </c>
      <c r="AM285">
        <v>505</v>
      </c>
      <c r="AZ285">
        <f>AZ284+0.25</f>
        <v>2.5499999999999998</v>
      </c>
      <c r="BB285">
        <v>0.05</v>
      </c>
    </row>
    <row r="286" spans="20:54">
      <c r="T286" s="66"/>
    </row>
    <row r="287" spans="20:54">
      <c r="T287" s="71" t="s">
        <v>1041</v>
      </c>
      <c r="U287">
        <v>1985</v>
      </c>
      <c r="V287" t="s">
        <v>1042</v>
      </c>
      <c r="W287" t="s">
        <v>1042</v>
      </c>
      <c r="Y287" t="s">
        <v>1043</v>
      </c>
      <c r="Z287" t="s">
        <v>1119</v>
      </c>
      <c r="AC287">
        <f>AC279-7.5</f>
        <v>57.5</v>
      </c>
      <c r="AE287">
        <f>AE279+7.5</f>
        <v>22.5</v>
      </c>
      <c r="AM287">
        <v>400</v>
      </c>
      <c r="BB287">
        <v>0.05</v>
      </c>
    </row>
    <row r="288" spans="20:54">
      <c r="T288" s="71"/>
      <c r="U288">
        <v>1995</v>
      </c>
      <c r="V288" t="s">
        <v>1045</v>
      </c>
      <c r="W288" t="s">
        <v>1045</v>
      </c>
      <c r="Y288" t="s">
        <v>1046</v>
      </c>
      <c r="Z288" t="s">
        <v>1120</v>
      </c>
      <c r="AC288">
        <f>AC287+5</f>
        <v>62.5</v>
      </c>
      <c r="AE288">
        <f>AE287+2.5</f>
        <v>25</v>
      </c>
      <c r="AM288">
        <v>410</v>
      </c>
      <c r="BB288">
        <v>0.05</v>
      </c>
    </row>
    <row r="289" spans="20:54">
      <c r="T289" s="71"/>
      <c r="U289">
        <v>2005</v>
      </c>
      <c r="V289" t="s">
        <v>1048</v>
      </c>
      <c r="W289" t="s">
        <v>1048</v>
      </c>
      <c r="Y289" t="s">
        <v>1049</v>
      </c>
      <c r="Z289" t="s">
        <v>1121</v>
      </c>
      <c r="AC289">
        <f>AC288+5</f>
        <v>67.5</v>
      </c>
      <c r="AE289">
        <f>AE288+2.5</f>
        <v>27.5</v>
      </c>
      <c r="AM289">
        <v>420</v>
      </c>
      <c r="BB289">
        <v>0.05</v>
      </c>
    </row>
    <row r="290" spans="20:54">
      <c r="T290" s="66"/>
    </row>
    <row r="291" spans="20:54">
      <c r="T291" s="66" t="s">
        <v>1051</v>
      </c>
      <c r="U291">
        <v>1955</v>
      </c>
      <c r="V291" t="s">
        <v>1052</v>
      </c>
      <c r="W291" t="s">
        <v>1052</v>
      </c>
      <c r="Y291" t="s">
        <v>1053</v>
      </c>
      <c r="Z291" t="s">
        <v>1122</v>
      </c>
      <c r="AC291">
        <v>35</v>
      </c>
      <c r="AE291">
        <v>12.5</v>
      </c>
      <c r="AM291">
        <v>120</v>
      </c>
      <c r="BB291">
        <v>0.05</v>
      </c>
    </row>
    <row r="292" spans="20:54">
      <c r="T292" s="66"/>
    </row>
    <row r="293" spans="20:54">
      <c r="T293" s="71" t="s">
        <v>1055</v>
      </c>
      <c r="U293">
        <v>1965</v>
      </c>
      <c r="V293" t="s">
        <v>1056</v>
      </c>
      <c r="W293" t="s">
        <v>1057</v>
      </c>
      <c r="Y293" t="s">
        <v>1058</v>
      </c>
      <c r="Z293" t="s">
        <v>1123</v>
      </c>
      <c r="AC293">
        <v>75</v>
      </c>
      <c r="AE293">
        <v>2.5</v>
      </c>
      <c r="AM293" s="51">
        <v>400</v>
      </c>
      <c r="BB293">
        <v>0.05</v>
      </c>
    </row>
    <row r="294" spans="20:54">
      <c r="T294" s="71"/>
      <c r="U294">
        <v>1975</v>
      </c>
      <c r="V294" t="s">
        <v>1060</v>
      </c>
      <c r="W294" t="s">
        <v>1061</v>
      </c>
      <c r="Y294" t="s">
        <v>1062</v>
      </c>
      <c r="Z294" t="s">
        <v>1124</v>
      </c>
      <c r="AC294">
        <v>85</v>
      </c>
      <c r="AE294">
        <f>AE293+1.5</f>
        <v>4</v>
      </c>
      <c r="AM294" s="52">
        <v>500</v>
      </c>
      <c r="BB294">
        <v>0.05</v>
      </c>
    </row>
    <row r="295" spans="20:54">
      <c r="T295" s="71"/>
      <c r="U295">
        <v>1985</v>
      </c>
      <c r="V295" t="s">
        <v>1064</v>
      </c>
      <c r="W295" t="s">
        <v>1065</v>
      </c>
      <c r="Y295" t="s">
        <v>1066</v>
      </c>
      <c r="Z295" t="s">
        <v>1125</v>
      </c>
      <c r="AC295">
        <v>95</v>
      </c>
      <c r="AE295">
        <f t="shared" ref="AE295:AE296" si="93">AE294+1.5</f>
        <v>5.5</v>
      </c>
      <c r="AM295" s="52">
        <v>600</v>
      </c>
      <c r="BB295">
        <v>0.05</v>
      </c>
    </row>
    <row r="296" spans="20:54">
      <c r="T296" s="71"/>
      <c r="U296">
        <v>1995</v>
      </c>
      <c r="V296" t="s">
        <v>1068</v>
      </c>
      <c r="W296" t="s">
        <v>1069</v>
      </c>
      <c r="Y296" t="s">
        <v>1070</v>
      </c>
      <c r="Z296" t="s">
        <v>1126</v>
      </c>
      <c r="AC296">
        <v>105</v>
      </c>
      <c r="AE296">
        <f t="shared" si="93"/>
        <v>7</v>
      </c>
      <c r="AM296" s="52">
        <v>700</v>
      </c>
      <c r="BB296">
        <v>0.05</v>
      </c>
    </row>
    <row r="298" spans="20:54">
      <c r="T298" s="71" t="s">
        <v>1072</v>
      </c>
      <c r="U298">
        <v>1942</v>
      </c>
      <c r="V298" t="s">
        <v>1073</v>
      </c>
      <c r="W298" t="s">
        <v>1073</v>
      </c>
      <c r="Y298" t="s">
        <v>1074</v>
      </c>
      <c r="Z298" t="s">
        <v>1127</v>
      </c>
      <c r="AC298">
        <v>2.5</v>
      </c>
      <c r="AE298">
        <v>10</v>
      </c>
      <c r="AM298" s="58">
        <v>20</v>
      </c>
      <c r="BB298">
        <v>0.05</v>
      </c>
    </row>
    <row r="299" spans="20:54">
      <c r="T299" s="71"/>
      <c r="U299">
        <v>1955</v>
      </c>
      <c r="V299" t="s">
        <v>1076</v>
      </c>
      <c r="W299" t="s">
        <v>1076</v>
      </c>
      <c r="Y299" t="s">
        <v>1077</v>
      </c>
      <c r="Z299" t="s">
        <v>1128</v>
      </c>
      <c r="AC299">
        <f>AC298+2.5</f>
        <v>5</v>
      </c>
      <c r="AE299">
        <f>AE298+5</f>
        <v>15</v>
      </c>
      <c r="AM299" s="58">
        <v>25</v>
      </c>
      <c r="BB299">
        <v>0.05</v>
      </c>
    </row>
    <row r="300" spans="20:54">
      <c r="T300" s="71"/>
      <c r="U300">
        <v>1970</v>
      </c>
      <c r="V300" t="s">
        <v>1079</v>
      </c>
      <c r="W300" t="s">
        <v>1079</v>
      </c>
      <c r="Y300" t="s">
        <v>1080</v>
      </c>
      <c r="Z300" t="s">
        <v>1129</v>
      </c>
      <c r="AC300">
        <f t="shared" ref="AC300:AC302" si="94">AC299+2.5</f>
        <v>7.5</v>
      </c>
      <c r="AE300">
        <f t="shared" ref="AE300:AE302" si="95">AE299+5</f>
        <v>20</v>
      </c>
      <c r="AM300" s="58">
        <v>30</v>
      </c>
      <c r="BB300">
        <v>0.05</v>
      </c>
    </row>
    <row r="301" spans="20:54">
      <c r="T301" s="71"/>
      <c r="U301">
        <v>1985</v>
      </c>
      <c r="V301" t="s">
        <v>1082</v>
      </c>
      <c r="W301" t="s">
        <v>1082</v>
      </c>
      <c r="Y301" t="s">
        <v>1083</v>
      </c>
      <c r="Z301" t="s">
        <v>1130</v>
      </c>
      <c r="AC301">
        <f t="shared" si="94"/>
        <v>10</v>
      </c>
      <c r="AE301">
        <f t="shared" si="95"/>
        <v>25</v>
      </c>
      <c r="AM301" s="58">
        <v>35</v>
      </c>
      <c r="BB301">
        <v>0.05</v>
      </c>
    </row>
    <row r="302" spans="20:54">
      <c r="T302" s="71"/>
      <c r="U302">
        <v>2015</v>
      </c>
      <c r="V302" t="s">
        <v>1085</v>
      </c>
      <c r="W302" t="s">
        <v>1085</v>
      </c>
      <c r="Y302" t="s">
        <v>1086</v>
      </c>
      <c r="Z302" t="s">
        <v>1131</v>
      </c>
      <c r="AC302">
        <f t="shared" si="94"/>
        <v>12.5</v>
      </c>
      <c r="AE302">
        <f t="shared" si="95"/>
        <v>30</v>
      </c>
      <c r="AM302" s="58">
        <v>40</v>
      </c>
      <c r="BB302">
        <v>0.05</v>
      </c>
    </row>
    <row r="304" spans="20:54">
      <c r="T304" s="71" t="s">
        <v>1132</v>
      </c>
      <c r="U304">
        <v>1965</v>
      </c>
      <c r="V304" t="s">
        <v>1133</v>
      </c>
      <c r="W304" t="s">
        <v>1057</v>
      </c>
      <c r="Y304" t="s">
        <v>1134</v>
      </c>
      <c r="Z304" t="s">
        <v>1135</v>
      </c>
      <c r="AE304">
        <v>3</v>
      </c>
      <c r="AM304">
        <v>500</v>
      </c>
    </row>
    <row r="305" spans="19:39">
      <c r="T305" s="71"/>
      <c r="U305">
        <v>1975</v>
      </c>
      <c r="V305" t="s">
        <v>1136</v>
      </c>
      <c r="W305" t="s">
        <v>1061</v>
      </c>
      <c r="Y305" t="s">
        <v>1137</v>
      </c>
      <c r="Z305" t="s">
        <v>1138</v>
      </c>
      <c r="AE305">
        <f>AE304+1.5</f>
        <v>4.5</v>
      </c>
      <c r="AM305">
        <v>650</v>
      </c>
    </row>
    <row r="306" spans="19:39">
      <c r="T306" s="71"/>
      <c r="U306">
        <v>1985</v>
      </c>
      <c r="V306" t="s">
        <v>1139</v>
      </c>
      <c r="W306" t="s">
        <v>1065</v>
      </c>
      <c r="Y306" t="s">
        <v>1140</v>
      </c>
      <c r="Z306" t="s">
        <v>1141</v>
      </c>
      <c r="AE306">
        <f>AE305+1.5</f>
        <v>6</v>
      </c>
      <c r="AM306">
        <v>800</v>
      </c>
    </row>
    <row r="307" spans="19:39">
      <c r="T307" s="71"/>
      <c r="U307">
        <v>1995</v>
      </c>
      <c r="V307" t="s">
        <v>1142</v>
      </c>
      <c r="W307" t="s">
        <v>1069</v>
      </c>
      <c r="Y307" t="s">
        <v>1143</v>
      </c>
      <c r="Z307" t="s">
        <v>1144</v>
      </c>
      <c r="AE307">
        <f>AE306+1.5</f>
        <v>7.5</v>
      </c>
      <c r="AM307">
        <v>1000</v>
      </c>
    </row>
    <row r="308" spans="19:39">
      <c r="T308" s="71"/>
      <c r="U308">
        <v>2005</v>
      </c>
      <c r="V308" t="s">
        <v>1145</v>
      </c>
      <c r="W308" t="s">
        <v>1146</v>
      </c>
      <c r="Y308" t="s">
        <v>1147</v>
      </c>
      <c r="Z308" t="s">
        <v>1148</v>
      </c>
      <c r="AE308">
        <f>AE307+1.5</f>
        <v>9</v>
      </c>
      <c r="AM308">
        <v>1200</v>
      </c>
    </row>
    <row r="311" spans="19:39">
      <c r="S311" t="s">
        <v>1088</v>
      </c>
    </row>
    <row r="319" spans="19:39">
      <c r="S319" t="s">
        <v>1089</v>
      </c>
    </row>
    <row r="321" spans="19:19">
      <c r="S321" t="s">
        <v>1149</v>
      </c>
    </row>
    <row r="323" spans="19:60">
      <c r="S323" s="15" t="inlineStr">
        <is>
          <t xml:space="preserve">Script-Owned</t>
        </is>
      </c>
      <c r="T323" s="15" t="inlineStr">
        <is>
          <t xml:space="preserve">tank_turret_type</t>
        </is>
      </c>
      <c r="U323" s="15" t="inlineStr">
        <is>
          <t xml:space="preserve">1918</t>
        </is>
      </c>
      <c r="V323" s="15" t="inlineStr">
        <is>
          <t xml:space="preserve">conventional_turret</t>
        </is>
      </c>
      <c r="W323" s="15" t="inlineStr">
        <is>
          <t xml:space="preserve">nsb_iw_armored_vehicles</t>
        </is>
      </c>
      <c r="X323" s="15" t="inlineStr">
        <is>
          <t xml:space="preserve">nsb_iw_armored_vehicles</t>
        </is>
      </c>
      <c r="Y323" s="15" t="inlineStr">
        <is>
          <t xml:space="preserve">tank_turret_type</t>
        </is>
      </c>
      <c r="Z323" s="15" t="inlineStr">
        <is>
          <t xml:space="preserve">conventional_turret</t>
        </is>
      </c>
      <c r="AA323" s="15" t="inlineStr">
        <is>
          <t xml:space="preserve">15%</t>
        </is>
      </c>
      <c r="AZ323" s="15" t="inlineStr">
        <is>
          <t xml:space="preserve">1</t>
        </is>
      </c>
      <c r="BB323" s="15">
        <v>0.5</v>
      </c>
      <c r="BH323" s="15" t="inlineStr">
        <is>
          <t xml:space="preserve">parent=none; unlock=nsb_iw_armored_vehicles@1918; xp_cost=present; dismantle_cost_ic=0.5; conversion=none; operations=add=build_cost_ic:1,reliability:0.15; exclusions=category,eligibility,abbreviation,display</t>
        </is>
      </c>
    </row>
    <row r="324" spans="19:60">
      <c r="S324" s="15" t="inlineStr">
        <is>
          <t xml:space="preserve">Script-Owned</t>
        </is>
      </c>
      <c r="T324" s="15" t="inlineStr">
        <is>
          <t xml:space="preserve">tank_secondary_turret</t>
        </is>
      </c>
      <c r="U324" s="15" t="inlineStr">
        <is>
          <t xml:space="preserve">1918</t>
        </is>
      </c>
      <c r="V324" s="15" t="inlineStr">
        <is>
          <t xml:space="preserve">cwic_coaxial_mg</t>
        </is>
      </c>
      <c r="W324" s="15" t="inlineStr">
        <is>
          <t xml:space="preserve">nsb_iw_armored_vehicles</t>
        </is>
      </c>
      <c r="X324" s="15" t="inlineStr">
        <is>
          <t xml:space="preserve">nsb_iw_armored_vehicles</t>
        </is>
      </c>
      <c r="Y324" s="15" t="inlineStr">
        <is>
          <t xml:space="preserve">tank_secondary_turret</t>
        </is>
      </c>
      <c r="Z324" s="15" t="inlineStr">
        <is>
          <t xml:space="preserve">cwic_coaxial_mg</t>
        </is>
      </c>
      <c r="AA324" t="inlineStr">
        <is>
          <t>-0.5%</t>
        </is>
      </c>
      <c r="AE324" s="15" t="inlineStr">
        <is>
          <t xml:space="preserve">0.5</t>
        </is>
      </c>
      <c r="AZ324" s="15" t="inlineStr">
        <is>
          <t xml:space="preserve">0.25</t>
        </is>
      </c>
      <c r="BB324" s="15">
        <v>0.125</v>
      </c>
      <c r="BH324" s="15" t="inlineStr">
        <is>
          <t xml:space="preserve">parent=none; unlock=nsb_iw_armored_vehicles@1918; xp_cost=present; dismantle_cost_ic=0.125; conversion=none; operations=add=build_cost_ic:0.25,soft_attack:0.5; exclusions=category,eligibility,abbreviation,display</t>
        </is>
      </c>
    </row>
    <row r="325" spans="19:60">
      <c r="S325" s="15" t="inlineStr">
        <is>
          <t xml:space="preserve">Script-Owned</t>
        </is>
      </c>
      <c r="T325" s="15" t="inlineStr">
        <is>
          <t xml:space="preserve">tank_secondary_turret</t>
        </is>
      </c>
      <c r="U325" s="15" t="inlineStr">
        <is>
          <t xml:space="preserve">1918</t>
        </is>
      </c>
      <c r="V325" s="15" t="inlineStr">
        <is>
          <t xml:space="preserve">cwic_hull_mg</t>
        </is>
      </c>
      <c r="W325" s="15" t="inlineStr">
        <is>
          <t xml:space="preserve">nsb_iw_armored_vehicles</t>
        </is>
      </c>
      <c r="X325" s="15" t="inlineStr">
        <is>
          <t xml:space="preserve">nsb_iw_armored_vehicles</t>
        </is>
      </c>
      <c r="Y325" s="15" t="inlineStr">
        <is>
          <t xml:space="preserve">tank_secondary_turret</t>
        </is>
      </c>
      <c r="Z325" s="15" t="inlineStr">
        <is>
          <t xml:space="preserve">cwic_hull_mg</t>
        </is>
      </c>
      <c r="AA325" t="inlineStr">
        <is>
          <t>-0.5%</t>
        </is>
      </c>
      <c r="AE325" s="15" t="inlineStr">
        <is>
          <t xml:space="preserve">0.5</t>
        </is>
      </c>
      <c r="AI325" s="15" t="inlineStr">
        <is>
          <t>0.25</t>
        </is>
      </c>
      <c r="AZ325" s="15" t="inlineStr">
        <is>
          <t xml:space="preserve">0.35</t>
        </is>
      </c>
      <c r="BB325" s="15">
        <v>0.175</v>
      </c>
      <c r="BH325" s="15" t="inlineStr">
        <is>
          <t xml:space="preserve">parent=none; unlock=nsb_iw_armored_vehicles@1918; xp_cost=present; dismantle_cost_ic=0.175; conversion=none; operations=add=build_cost_ic:0.35,defense:0.5,soft_attack:0.5; exclusions=category,eligibility,abbreviation,display</t>
        </is>
      </c>
    </row>
    <row r="326" spans="19:60">
      <c r="S326" s="15" t="inlineStr">
        <is>
          <t xml:space="preserve">Script-Owned</t>
        </is>
      </c>
      <c r="T326" s="15" t="inlineStr">
        <is>
          <t xml:space="preserve">tank_secondary_turret</t>
        </is>
      </c>
      <c r="U326" s="15" t="inlineStr">
        <is>
          <t xml:space="preserve">1955</t>
        </is>
      </c>
      <c r="V326" s="15" t="inlineStr">
        <is>
          <t xml:space="preserve">cwic_secondary_autocannon</t>
        </is>
      </c>
      <c r="W326" s="15" t="inlineStr">
        <is>
          <t xml:space="preserve">nsb_aiming_devices2</t>
        </is>
      </c>
      <c r="X326" s="15" t="inlineStr">
        <is>
          <t xml:space="preserve">nsb_aiming_devices2</t>
        </is>
      </c>
      <c r="Y326" s="15" t="inlineStr">
        <is>
          <t xml:space="preserve">tank_secondary_turret</t>
        </is>
      </c>
      <c r="Z326" s="15" t="inlineStr">
        <is>
          <t xml:space="preserve">cwic_secondary_autocannon</t>
        </is>
      </c>
      <c r="AA326" s="15" t="inlineStr">
        <is>
          <t xml:space="preserve">-2.5%</t>
        </is>
      </c>
      <c r="AC326" s="15" t="inlineStr">
        <is>
          <t xml:space="preserve">1</t>
        </is>
      </c>
      <c r="AE326" s="15" t="inlineStr">
        <is>
          <t xml:space="preserve">2</t>
        </is>
      </c>
      <c r="AM326" s="15" t="inlineStr">
        <is>
          <t xml:space="preserve">2</t>
        </is>
      </c>
      <c r="AZ326" s="15" t="inlineStr">
        <is>
          <t xml:space="preserve">1.5</t>
        </is>
      </c>
      <c r="BB326" s="15">
        <v>0.75</v>
      </c>
      <c r="BH326" s="15" t="inlineStr">
        <is>
          <t xml:space="preserve">parent=none; unlock=nsb_aiming_devices2@1955; xp_cost=present; dismantle_cost_ic=0.75; conversion=none; operations=add=ap_attack:2,build_cost_ic:1.5,hard_attack:1,reliability:-0.025,soft_attack:2; exclusions=category,eligibility,abbreviation,display</t>
        </is>
      </c>
    </row>
    <row r="327" spans="19:60">
      <c r="S327" s="15" t="inlineStr">
        <is>
          <t xml:space="preserve">Script-Owned</t>
        </is>
      </c>
      <c r="T327" s="15" t="inlineStr">
        <is>
          <t xml:space="preserve">tank_secondary_turret</t>
        </is>
      </c>
      <c r="U327" s="15" t="inlineStr">
        <is>
          <t xml:space="preserve">1918</t>
        </is>
      </c>
      <c r="V327" s="15" t="inlineStr">
        <is>
          <t xml:space="preserve">cwic_secondary_hmg</t>
        </is>
      </c>
      <c r="W327" s="15" t="inlineStr">
        <is>
          <t xml:space="preserve">nsb_iw_armored_vehicles</t>
        </is>
      </c>
      <c r="X327" s="15" t="inlineStr">
        <is>
          <t xml:space="preserve">nsb_iw_armored_vehicles</t>
        </is>
      </c>
      <c r="Y327" s="15" t="inlineStr">
        <is>
          <t xml:space="preserve">tank_secondary_turret</t>
        </is>
      </c>
      <c r="Z327" s="15" t="inlineStr">
        <is>
          <t xml:space="preserve">cwic_secondary_hmg</t>
        </is>
      </c>
      <c r="AA327" t="inlineStr">
        <is>
          <t>-1%</t>
        </is>
      </c>
      <c r="AC327" s="15" t="inlineStr">
        <is>
          <t xml:space="preserve">0.25</t>
        </is>
      </c>
      <c r="AE327" s="15" t="inlineStr">
        <is>
          <t xml:space="preserve">1</t>
        </is>
      </c>
      <c r="AZ327" s="15" t="inlineStr">
        <is>
          <t xml:space="preserve">0.75</t>
        </is>
      </c>
      <c r="BB327" s="15">
        <v>0.375</v>
      </c>
      <c r="BH327" s="15" t="inlineStr">
        <is>
          <t xml:space="preserve">parent=none; unlock=nsb_iw_armored_vehicles@1918; xp_cost=present; dismantle_cost_ic=0.375; conversion=none; operations=add=build_cost_ic:0.75,hard_attack:0.25,soft_attack:1; exclusions=category,eligibility,abbreviation,display</t>
        </is>
      </c>
    </row>
    <row r="328" spans="19:60">
      <c r="S328" s="15" t="inlineStr">
        <is>
          <t xml:space="preserve">Script-Owned</t>
        </is>
      </c>
      <c r="T328" s="15" t="inlineStr">
        <is>
          <t xml:space="preserve">tank_turret_type</t>
        </is>
      </c>
      <c r="U328" s="15" t="inlineStr">
        <is>
          <t xml:space="preserve">1918</t>
        </is>
      </c>
      <c r="V328" s="15" t="inlineStr">
        <is>
          <t xml:space="preserve">external_gun</t>
        </is>
      </c>
      <c r="W328" s="15" t="inlineStr">
        <is>
          <t xml:space="preserve">nsb_iw_armored_vehicles</t>
        </is>
      </c>
      <c r="X328" s="15" t="inlineStr">
        <is>
          <t xml:space="preserve">nsb_iw_armored_vehicles</t>
        </is>
      </c>
      <c r="Y328" s="15" t="inlineStr">
        <is>
          <t xml:space="preserve">tank_turret_type</t>
        </is>
      </c>
      <c r="Z328" s="15" t="inlineStr">
        <is>
          <t xml:space="preserve">external_gun</t>
        </is>
      </c>
      <c r="AA328" s="15" t="inlineStr">
        <is>
          <t xml:space="preserve">5%</t>
        </is>
      </c>
      <c r="AH328" s="15" t="inlineStr">
        <is>
          <t xml:space="preserve">-5%</t>
        </is>
      </c>
      <c r="AJ328" s="15" t="inlineStr">
        <is>
          <t xml:space="preserve">10%</t>
        </is>
      </c>
      <c r="AZ328" s="15" t="inlineStr">
        <is>
          <t xml:space="preserve">1.25</t>
        </is>
      </c>
      <c r="BB328" s="15">
        <v>0.625</v>
      </c>
      <c r="BH328" s="15" t="inlineStr">
        <is>
          <t xml:space="preserve">parent=open_gun; unlock=nsb_iw_armored_vehicles@1918; xp_cost=present; dismantle_cost_ic=0.625; conversion=none; operations=add=build_cost_ic:1.25,reliability:0.05; multiply=breakthrough:-0.05,defense:0.1; exclusions=category,eligibility,abbreviation,display</t>
        </is>
      </c>
    </row>
    <row r="329" spans="19:60">
      <c r="S329" s="15" t="inlineStr">
        <is>
          <t xml:space="preserve">Script-Owned</t>
        </is>
      </c>
      <c r="T329" s="15" t="inlineStr">
        <is>
          <t xml:space="preserve">tank_light_turret_type</t>
        </is>
      </c>
      <c r="U329" s="15" t="inlineStr">
        <is>
          <t xml:space="preserve">1918</t>
        </is>
      </c>
      <c r="V329" s="15" t="inlineStr">
        <is>
          <t xml:space="preserve">fixed_superstructure</t>
        </is>
      </c>
      <c r="W329" s="15" t="inlineStr">
        <is>
          <t xml:space="preserve">nsb_iw_armored_vehicles</t>
        </is>
      </c>
      <c r="X329" s="15" t="inlineStr">
        <is>
          <t xml:space="preserve">nsb_iw_armored_vehicles</t>
        </is>
      </c>
      <c r="Y329" s="15" t="inlineStr">
        <is>
          <t xml:space="preserve">tank_light_turret_type</t>
        </is>
      </c>
      <c r="Z329" s="15" t="inlineStr">
        <is>
          <t xml:space="preserve">fixed_superstructure</t>
        </is>
      </c>
      <c r="AA329" s="15" t="inlineStr">
        <is>
          <t xml:space="preserve">20%</t>
        </is>
      </c>
      <c r="AH329" s="15" t="inlineStr">
        <is>
          <t xml:space="preserve">-15%</t>
        </is>
      </c>
      <c r="AJ329" s="15" t="inlineStr">
        <is>
          <t xml:space="preserve">5%</t>
        </is>
      </c>
      <c r="AZ329" s="15" t="inlineStr">
        <is>
          <t xml:space="preserve">0.75</t>
        </is>
      </c>
      <c r="BB329" s="15">
        <v>0.375</v>
      </c>
      <c r="BH329" s="15" t="inlineStr">
        <is>
          <t xml:space="preserve">parent=external_gun; unlock=nsb_iw_armored_vehicles@1918; xp_cost=present; dismantle_cost_ic=0.375; conversion=none; operations=add=build_cost_ic:0.75,reliability:0.2; multiply=breakthrough:-0.15,defense:0.05; exclusions=category,eligibility,abbreviation,display</t>
        </is>
      </c>
    </row>
    <row r="330" spans="19:60">
      <c r="S330" s="15" t="inlineStr">
        <is>
          <t xml:space="preserve">Script-Owned</t>
        </is>
      </c>
      <c r="T330" s="15" t="inlineStr">
        <is>
          <t xml:space="preserve">tank_flamethrower</t>
        </is>
      </c>
      <c r="U330" s="15" t="inlineStr">
        <is>
          <t xml:space="preserve">1918</t>
        </is>
      </c>
      <c r="V330" s="15" t="inlineStr">
        <is>
          <t xml:space="preserve">flamethrower</t>
        </is>
      </c>
      <c r="W330" s="15" t="inlineStr">
        <is>
          <t xml:space="preserve">nsb_iw_armored_vehicles</t>
        </is>
      </c>
      <c r="X330" s="15" t="inlineStr">
        <is>
          <t xml:space="preserve">nsb_iw_armored_vehicles</t>
        </is>
      </c>
      <c r="Y330" s="15" t="inlineStr">
        <is>
          <t xml:space="preserve">tank_flamethrower</t>
        </is>
      </c>
      <c r="Z330" s="15" t="inlineStr">
        <is>
          <t xml:space="preserve">flamethrower</t>
        </is>
      </c>
      <c r="AA330" s="15" t="inlineStr">
        <is>
          <t xml:space="preserve">-5%</t>
        </is>
      </c>
      <c r="AE330" s="15" t="inlineStr">
        <is>
          <t xml:space="preserve">5</t>
        </is>
      </c>
      <c r="AZ330" s="15" t="inlineStr">
        <is>
          <t xml:space="preserve">0.5</t>
        </is>
      </c>
      <c r="BB330" s="15">
        <v>0.5</v>
      </c>
      <c r="BH330" s="15" t="inlineStr">
        <is>
          <t xml:space="preserve">parent=none; unlock=nsb_iw_armored_vehicles@1918; xp_cost=present; dismantle_cost_ic=0.5; conversion=module_category=tank_small_main_armament,convert_cost_ic=0.5; operations=add=build_cost_ic:0.5,reliability:-0.05,soft_attack:5; exclusions=category,eligibility,abbreviation,display</t>
        </is>
      </c>
    </row>
    <row r="331" spans="19:60">
      <c r="S331" s="15" t="inlineStr">
        <is>
          <t xml:space="preserve">Script-Owned</t>
        </is>
      </c>
      <c r="T331" s="15" t="inlineStr">
        <is>
          <t xml:space="preserve">tank_heavy_turret_type</t>
        </is>
      </c>
      <c r="U331" s="15" t="inlineStr">
        <is>
          <t xml:space="preserve">1918</t>
        </is>
      </c>
      <c r="V331" s="15" t="inlineStr">
        <is>
          <t xml:space="preserve">heavy_fixed_superstructure</t>
        </is>
      </c>
      <c r="W331" s="15" t="inlineStr">
        <is>
          <t xml:space="preserve">nsb_iw_armored_vehicles</t>
        </is>
      </c>
      <c r="X331" s="15" t="inlineStr">
        <is>
          <t xml:space="preserve">nsb_iw_armored_vehicles</t>
        </is>
      </c>
      <c r="Y331" s="15" t="inlineStr">
        <is>
          <t xml:space="preserve">tank_heavy_turret_type</t>
        </is>
      </c>
      <c r="Z331" s="15" t="inlineStr">
        <is>
          <t xml:space="preserve">heavy_fixed_superstructure</t>
        </is>
      </c>
      <c r="AA331" s="15" t="inlineStr">
        <is>
          <t xml:space="preserve">20%</t>
        </is>
      </c>
      <c r="AH331" s="15" t="inlineStr">
        <is>
          <t xml:space="preserve">-15%</t>
        </is>
      </c>
      <c r="AJ331" s="15" t="inlineStr">
        <is>
          <t xml:space="preserve">5%</t>
        </is>
      </c>
      <c r="AZ331" s="15" t="inlineStr">
        <is>
          <t xml:space="preserve">1.25</t>
        </is>
      </c>
      <c r="BB331" s="15">
        <v>0.625</v>
      </c>
      <c r="BH331" s="15" t="inlineStr">
        <is>
          <t xml:space="preserve">parent=external_gun; unlock=nsb_iw_armored_vehicles@1918; xp_cost=present; dismantle_cost_ic=0.625; conversion=none; operations=add=build_cost_ic:1.25,reliability:0.2; multiply=breakthrough:-0.15,defense:0.05; exclusions=category,eligibility,abbreviation,display</t>
        </is>
      </c>
    </row>
    <row r="332" spans="19:60">
      <c r="S332" s="15" t="inlineStr">
        <is>
          <t xml:space="preserve">Script-Owned</t>
        </is>
      </c>
      <c r="T332" s="15" t="inlineStr">
        <is>
          <t xml:space="preserve">tank_heavy_turret_type</t>
        </is>
      </c>
      <c r="U332" s="15" t="inlineStr">
        <is>
          <t xml:space="preserve">1918</t>
        </is>
      </c>
      <c r="V332" s="15" t="inlineStr">
        <is>
          <t xml:space="preserve">heavy_open_gun</t>
        </is>
      </c>
      <c r="W332" s="15" t="inlineStr">
        <is>
          <t xml:space="preserve">nsb_iw_armored_vehicles</t>
        </is>
      </c>
      <c r="X332" s="15" t="inlineStr">
        <is>
          <t xml:space="preserve">nsb_iw_armored_vehicles</t>
        </is>
      </c>
      <c r="Y332" s="15" t="inlineStr">
        <is>
          <t xml:space="preserve">tank_heavy_turret_type</t>
        </is>
      </c>
      <c r="Z332" s="15" t="inlineStr">
        <is>
          <t xml:space="preserve">heavy_open_gun</t>
        </is>
      </c>
      <c r="AA332" s="15" t="inlineStr">
        <is>
          <t xml:space="preserve">10%</t>
        </is>
      </c>
      <c r="AH332" s="15" t="inlineStr">
        <is>
          <t xml:space="preserve">-20%</t>
        </is>
      </c>
      <c r="AJ332" s="15" t="inlineStr">
        <is>
          <t xml:space="preserve">-10%</t>
        </is>
      </c>
      <c r="AZ332" s="15" t="inlineStr">
        <is>
          <t xml:space="preserve">1</t>
        </is>
      </c>
      <c r="BB332" s="15">
        <v>0.5</v>
      </c>
      <c r="BH332" s="15" t="inlineStr">
        <is>
          <t xml:space="preserve">parent=medium_open_gun; unlock=nsb_iw_armored_vehicles@1918; xp_cost=present; dismantle_cost_ic=0.5; conversion=none; operations=add=build_cost_ic:1,reliability:0.1; multiply=breakthrough:-0.2,defense:-0.1; exclusions=category,eligibility,abbreviation,display</t>
        </is>
      </c>
    </row>
    <row r="333" spans="19:60">
      <c r="S333" s="15" t="inlineStr">
        <is>
          <t xml:space="preserve">Script-Owned</t>
        </is>
      </c>
      <c r="T333" s="15" t="inlineStr">
        <is>
          <t xml:space="preserve">tank_turret_type</t>
        </is>
      </c>
      <c r="U333" s="15" t="inlineStr">
        <is>
          <t xml:space="preserve">1918</t>
        </is>
      </c>
      <c r="V333" s="15" t="inlineStr">
        <is>
          <t xml:space="preserve">light_lp_turret</t>
        </is>
      </c>
      <c r="W333" s="15" t="inlineStr">
        <is>
          <t xml:space="preserve">nsb_iw_armored_vehicles</t>
        </is>
      </c>
      <c r="X333" s="15" t="inlineStr">
        <is>
          <t xml:space="preserve">nsb_iw_armored_vehicles</t>
        </is>
      </c>
      <c r="Y333" s="15" t="inlineStr">
        <is>
          <t xml:space="preserve">tank_turret_type</t>
        </is>
      </c>
      <c r="Z333" s="15" t="inlineStr">
        <is>
          <t xml:space="preserve">light_lp_turret</t>
        </is>
      </c>
      <c r="AA333" s="15" t="inlineStr">
        <is>
          <t xml:space="preserve">10%</t>
        </is>
      </c>
      <c r="AJ333" s="15" t="inlineStr">
        <is>
          <t xml:space="preserve">5%</t>
        </is>
      </c>
      <c r="AZ333" s="15" t="inlineStr">
        <is>
          <t xml:space="preserve">1.25</t>
        </is>
      </c>
      <c r="BB333" s="15">
        <v>0.625</v>
      </c>
      <c r="BH333" s="15" t="inlineStr">
        <is>
          <t xml:space="preserve">parent=pintle_turret; unlock=nsb_iw_armored_vehicles@1918; xp_cost=present; dismantle_cost_ic=0.625; conversion=none; operations=add=build_cost_ic:1.25,reliability:0.1; multiply=defense:0.05; exclusions=category,eligibility,abbreviation,display</t>
        </is>
      </c>
    </row>
    <row r="334" spans="19:60">
      <c r="S334" s="15" t="inlineStr">
        <is>
          <t xml:space="preserve">Script-Owned</t>
        </is>
      </c>
      <c r="T334" s="15" t="inlineStr">
        <is>
          <t xml:space="preserve">tank_turret_type</t>
        </is>
      </c>
      <c r="U334" s="15" t="inlineStr">
        <is>
          <t xml:space="preserve">1918</t>
        </is>
      </c>
      <c r="V334" s="15" t="inlineStr">
        <is>
          <t xml:space="preserve">light_turret</t>
        </is>
      </c>
      <c r="W334" s="15" t="inlineStr">
        <is>
          <t xml:space="preserve">nsb_iw_armored_vehicles</t>
        </is>
      </c>
      <c r="X334" s="15" t="inlineStr">
        <is>
          <t xml:space="preserve">nsb_iw_armored_vehicles</t>
        </is>
      </c>
      <c r="Y334" s="15" t="inlineStr">
        <is>
          <t xml:space="preserve">tank_turret_type</t>
        </is>
      </c>
      <c r="Z334" s="15" t="inlineStr">
        <is>
          <t xml:space="preserve">light_turret</t>
        </is>
      </c>
      <c r="AA334" s="15" t="inlineStr">
        <is>
          <t xml:space="preserve">15%</t>
        </is>
      </c>
      <c r="AZ334" s="15" t="inlineStr">
        <is>
          <t xml:space="preserve">1</t>
        </is>
      </c>
      <c r="BB334" s="15">
        <v>0.5</v>
      </c>
      <c r="BH334" s="15" t="inlineStr">
        <is>
          <t xml:space="preserve">parent=light_lp_turret; unlock=nsb_iw_armored_vehicles@1918; xp_cost=present; dismantle_cost_ic=0.5; conversion=none; operations=add=build_cost_ic:1,reliability:0.15; exclusions=category,eligibility,abbreviation,display</t>
        </is>
      </c>
    </row>
    <row r="335" spans="19:60">
      <c r="S335" s="15" t="inlineStr">
        <is>
          <t xml:space="preserve">Script-Owned</t>
        </is>
      </c>
      <c r="T335" s="15" t="inlineStr">
        <is>
          <t xml:space="preserve">tank_turret_type</t>
        </is>
      </c>
      <c r="U335" s="15" t="inlineStr">
        <is>
          <t xml:space="preserve">1918</t>
        </is>
      </c>
      <c r="V335" s="15" t="inlineStr">
        <is>
          <t xml:space="preserve">lp_turret</t>
        </is>
      </c>
      <c r="W335" s="15" t="inlineStr">
        <is>
          <t xml:space="preserve">nsb_iw_armored_vehicles</t>
        </is>
      </c>
      <c r="X335" s="15" t="inlineStr">
        <is>
          <t xml:space="preserve">nsb_iw_armored_vehicles</t>
        </is>
      </c>
      <c r="Y335" s="15" t="inlineStr">
        <is>
          <t xml:space="preserve">tank_turret_type</t>
        </is>
      </c>
      <c r="Z335" s="15" t="inlineStr">
        <is>
          <t xml:space="preserve">lp_turret</t>
        </is>
      </c>
      <c r="AA335" s="15" t="inlineStr">
        <is>
          <t xml:space="preserve">10%</t>
        </is>
      </c>
      <c r="AJ335" s="15" t="inlineStr">
        <is>
          <t xml:space="preserve">10%</t>
        </is>
      </c>
      <c r="AZ335" s="15" t="inlineStr">
        <is>
          <t xml:space="preserve">1.5</t>
        </is>
      </c>
      <c r="BB335" s="15">
        <v>0.75</v>
      </c>
      <c r="BH335" s="15" t="inlineStr">
        <is>
          <t xml:space="preserve">parent=none; unlock=nsb_iw_armored_vehicles@1918; xp_cost=present; dismantle_cost_ic=0.75; conversion=none; operations=add=build_cost_ic:1.5,reliability:0.1; multiply=defense:0.1; exclusions=category,eligibility,abbreviation,display</t>
        </is>
      </c>
    </row>
    <row r="336" spans="19:60">
      <c r="S336" s="15" t="inlineStr">
        <is>
          <t xml:space="preserve">Script-Owned</t>
        </is>
      </c>
      <c r="T336" s="15" t="inlineStr">
        <is>
          <t xml:space="preserve">tank_medium_turret_type</t>
        </is>
      </c>
      <c r="U336" s="15" t="inlineStr">
        <is>
          <t xml:space="preserve">1918</t>
        </is>
      </c>
      <c r="V336" s="15" t="inlineStr">
        <is>
          <t xml:space="preserve">medium_fixed_superstructure</t>
        </is>
      </c>
      <c r="W336" s="15" t="inlineStr">
        <is>
          <t xml:space="preserve">nsb_iw_armored_vehicles</t>
        </is>
      </c>
      <c r="X336" s="15" t="inlineStr">
        <is>
          <t xml:space="preserve">nsb_iw_armored_vehicles</t>
        </is>
      </c>
      <c r="Y336" s="15" t="inlineStr">
        <is>
          <t xml:space="preserve">tank_medium_turret_type</t>
        </is>
      </c>
      <c r="Z336" s="15" t="inlineStr">
        <is>
          <t xml:space="preserve">medium_fixed_superstructure</t>
        </is>
      </c>
      <c r="AA336" s="15" t="inlineStr">
        <is>
          <t xml:space="preserve">20%</t>
        </is>
      </c>
      <c r="AH336" s="15" t="inlineStr">
        <is>
          <t xml:space="preserve">-15%</t>
        </is>
      </c>
      <c r="AJ336" s="15" t="inlineStr">
        <is>
          <t xml:space="preserve">5%</t>
        </is>
      </c>
      <c r="AZ336" s="15" t="inlineStr">
        <is>
          <t xml:space="preserve">1</t>
        </is>
      </c>
      <c r="BB336" s="15">
        <v>0.5</v>
      </c>
      <c r="BH336" s="15" t="inlineStr">
        <is>
          <t xml:space="preserve">parent=external_gun; unlock=nsb_iw_armored_vehicles@1918; xp_cost=present; dismantle_cost_ic=0.5; conversion=none; operations=add=build_cost_ic:1,reliability:0.2; multiply=breakthrough:-0.15,defense:0.05; exclusions=category,eligibility,abbreviation,display</t>
        </is>
      </c>
    </row>
    <row r="337" spans="19:60">
      <c r="S337" s="15" t="inlineStr">
        <is>
          <t xml:space="preserve">Script-Owned</t>
        </is>
      </c>
      <c r="T337" s="15" t="inlineStr">
        <is>
          <t xml:space="preserve">tank_medium_turret_type</t>
        </is>
      </c>
      <c r="U337" s="15" t="inlineStr">
        <is>
          <t xml:space="preserve">1918</t>
        </is>
      </c>
      <c r="V337" s="15" t="inlineStr">
        <is>
          <t xml:space="preserve">medium_open_gun</t>
        </is>
      </c>
      <c r="W337" s="15" t="inlineStr">
        <is>
          <t xml:space="preserve">nsb_iw_armored_vehicles</t>
        </is>
      </c>
      <c r="X337" s="15" t="inlineStr">
        <is>
          <t xml:space="preserve">nsb_iw_armored_vehicles</t>
        </is>
      </c>
      <c r="Y337" s="15" t="inlineStr">
        <is>
          <t xml:space="preserve">tank_medium_turret_type</t>
        </is>
      </c>
      <c r="Z337" s="15" t="inlineStr">
        <is>
          <t xml:space="preserve">medium_open_gun</t>
        </is>
      </c>
      <c r="AA337" s="15" t="inlineStr">
        <is>
          <t xml:space="preserve">10%</t>
        </is>
      </c>
      <c r="AH337" s="15" t="inlineStr">
        <is>
          <t xml:space="preserve">-20%</t>
        </is>
      </c>
      <c r="AJ337" s="15" t="inlineStr">
        <is>
          <t xml:space="preserve">-10%</t>
        </is>
      </c>
      <c r="AZ337" s="15" t="inlineStr">
        <is>
          <t xml:space="preserve">0.75</t>
        </is>
      </c>
      <c r="BB337" s="15">
        <v>0.375</v>
      </c>
      <c r="BH337" s="15" t="inlineStr">
        <is>
          <t xml:space="preserve">parent=open_gun; unlock=nsb_iw_armored_vehicles@1918; xp_cost=present; dismantle_cost_ic=0.375; conversion=none; operations=add=build_cost_ic:0.75,reliability:0.1; multiply=breakthrough:-0.2,defense:-0.1; exclusions=category,eligibility,abbreviation,display</t>
        </is>
      </c>
    </row>
    <row r="338" spans="19:60">
      <c r="S338" s="15" t="inlineStr">
        <is>
          <t xml:space="preserve">Script-Owned</t>
        </is>
      </c>
      <c r="T338" s="15" t="inlineStr">
        <is>
          <t xml:space="preserve">tank_light_turret_type</t>
        </is>
      </c>
      <c r="U338" s="15" t="inlineStr">
        <is>
          <t xml:space="preserve">1918</t>
        </is>
      </c>
      <c r="V338" s="15" t="inlineStr">
        <is>
          <t xml:space="preserve">open_gun</t>
        </is>
      </c>
      <c r="W338" s="15" t="inlineStr">
        <is>
          <t xml:space="preserve">nsb_iw_armored_vehicles</t>
        </is>
      </c>
      <c r="X338" s="15" t="inlineStr">
        <is>
          <t xml:space="preserve">nsb_iw_armored_vehicles</t>
        </is>
      </c>
      <c r="Y338" s="15" t="inlineStr">
        <is>
          <t xml:space="preserve">tank_light_turret_type</t>
        </is>
      </c>
      <c r="Z338" s="15" t="inlineStr">
        <is>
          <t xml:space="preserve">open_gun</t>
        </is>
      </c>
      <c r="AA338" s="15" t="inlineStr">
        <is>
          <t xml:space="preserve">10%</t>
        </is>
      </c>
      <c r="AH338" s="15" t="inlineStr">
        <is>
          <t xml:space="preserve">-20%</t>
        </is>
      </c>
      <c r="AJ338" s="15" t="inlineStr">
        <is>
          <t xml:space="preserve">-10%</t>
        </is>
      </c>
      <c r="AZ338" s="15" t="inlineStr">
        <is>
          <t xml:space="preserve">0.5</t>
        </is>
      </c>
      <c r="BB338" s="15">
        <v>0.25</v>
      </c>
      <c r="BH338" s="15" t="inlineStr">
        <is>
          <t xml:space="preserve">parent=none; unlock=nsb_iw_armored_vehicles@1918; xp_cost=present; dismantle_cost_ic=0.25; conversion=none; operations=add=build_cost_ic:0.5,reliability:0.1; multiply=breakthrough:-0.2,defense:-0.1; exclusions=category,eligibility,abbreviation,display</t>
        </is>
      </c>
    </row>
    <row r="339" spans="19:60">
      <c r="S339" s="15" t="inlineStr">
        <is>
          <t xml:space="preserve">Script-Owned</t>
        </is>
      </c>
      <c r="T339" s="15" t="inlineStr">
        <is>
          <t xml:space="preserve">tank_turret_type</t>
        </is>
      </c>
      <c r="U339" s="15" t="inlineStr">
        <is>
          <t xml:space="preserve">1918</t>
        </is>
      </c>
      <c r="V339" s="15" t="inlineStr">
        <is>
          <t xml:space="preserve">oscillating_turret</t>
        </is>
      </c>
      <c r="W339" s="15" t="inlineStr">
        <is>
          <t xml:space="preserve">nsb_iw_armored_vehicles</t>
        </is>
      </c>
      <c r="X339" s="15" t="inlineStr">
        <is>
          <t xml:space="preserve">nsb_iw_armored_vehicles</t>
        </is>
      </c>
      <c r="Y339" s="15" t="inlineStr">
        <is>
          <t xml:space="preserve">tank_turret_type</t>
        </is>
      </c>
      <c r="Z339" s="15" t="inlineStr">
        <is>
          <t xml:space="preserve">oscillating_turret</t>
        </is>
      </c>
      <c r="AA339" s="15" t="inlineStr">
        <is>
          <t xml:space="preserve">5%</t>
        </is>
      </c>
      <c r="AH339" s="15" t="inlineStr">
        <is>
          <t xml:space="preserve">10%</t>
        </is>
      </c>
      <c r="AZ339" s="15" t="inlineStr">
        <is>
          <t>1.75</t>
        </is>
      </c>
      <c r="BB339" s="15" t="inlineStr">
        <is>
          <t>0.875</t>
        </is>
      </c>
      <c r="BH339" s="15" t="inlineStr">
        <is>
          <t xml:space="preserve">parent=none; unlock=nsb_iw_armored_vehicles@1918; xp_cost=present; dismantle_cost_ic=0.75; conversion=none; operations=add=build_cost_ic:1.5,reliability:0.05; multiply=breakthrough:0.1; exclusions=category,eligibility,abbreviation,display</t>
        </is>
      </c>
    </row>
    <row r="340" spans="19:60">
      <c r="S340" s="15" t="inlineStr">
        <is>
          <t xml:space="preserve">Script-Owned</t>
        </is>
      </c>
      <c r="T340" s="15" t="inlineStr">
        <is>
          <t xml:space="preserve">tank_turret_type</t>
        </is>
      </c>
      <c r="U340" s="15" t="inlineStr">
        <is>
          <t xml:space="preserve">1918</t>
        </is>
      </c>
      <c r="V340" s="15" t="inlineStr">
        <is>
          <t xml:space="preserve">pintle_turret</t>
        </is>
      </c>
      <c r="W340" s="15" t="inlineStr">
        <is>
          <t xml:space="preserve">nsb_iw_armored_vehicles</t>
        </is>
      </c>
      <c r="X340" s="15" t="inlineStr">
        <is>
          <t xml:space="preserve">nsb_iw_armored_vehicles</t>
        </is>
      </c>
      <c r="Y340" s="15" t="inlineStr">
        <is>
          <t xml:space="preserve">tank_turret_type</t>
        </is>
      </c>
      <c r="Z340" s="15" t="inlineStr">
        <is>
          <t xml:space="preserve">pintle_turret</t>
        </is>
      </c>
      <c r="AA340" s="15" t="inlineStr">
        <is>
          <t xml:space="preserve">5%</t>
        </is>
      </c>
      <c r="AH340" s="15" t="inlineStr">
        <is>
          <t xml:space="preserve">-10%</t>
        </is>
      </c>
      <c r="AZ340" s="15" t="inlineStr">
        <is>
          <t xml:space="preserve">0.5</t>
        </is>
      </c>
      <c r="BB340" s="15">
        <v>0.25</v>
      </c>
      <c r="BH340" s="15" t="inlineStr">
        <is>
          <t xml:space="preserve">parent=none; unlock=nsb_iw_armored_vehicles@1918; xp_cost=present; dismantle_cost_ic=0.25; conversion=none; operations=add=build_cost_ic:0.5,reliability:0.05; multiply=breakthrough:-0.1; exclusions=category,eligibility,abbreviation,display</t>
        </is>
      </c>
    </row>
    <row r="341" spans="19:60">
      <c r="S341" s="15" t="inlineStr">
        <is>
          <t xml:space="preserve">Script-Owned</t>
        </is>
      </c>
      <c r="T341" s="15" t="inlineStr">
        <is>
          <t xml:space="preserve">tank_small_main_armament</t>
        </is>
      </c>
      <c r="U341" s="15" t="inlineStr">
        <is>
          <t xml:space="preserve">1918</t>
        </is>
      </c>
      <c r="V341" s="15" t="inlineStr">
        <is>
          <t xml:space="preserve">tank_anti_air_cannon</t>
        </is>
      </c>
      <c r="W341" s="15" t="inlineStr">
        <is>
          <t xml:space="preserve">nsb_iw_armored_vehicles</t>
        </is>
      </c>
      <c r="X341" s="15" t="inlineStr">
        <is>
          <t xml:space="preserve">nsb_iw_armored_vehicles</t>
        </is>
      </c>
      <c r="Y341" s="15" t="inlineStr">
        <is>
          <t xml:space="preserve">tank_small_main_armament</t>
        </is>
      </c>
      <c r="Z341" s="15" t="inlineStr">
        <is>
          <t xml:space="preserve">tank_anti_air_cannon</t>
        </is>
      </c>
      <c r="AA341" s="15" t="inlineStr">
        <is>
          <t xml:space="preserve">-10%</t>
        </is>
      </c>
      <c r="AC341" s="15" t="inlineStr">
        <is>
          <t xml:space="preserve">2</t>
        </is>
      </c>
      <c r="AE341" s="15" t="inlineStr">
        <is>
          <t xml:space="preserve">6</t>
        </is>
      </c>
      <c r="AM341" s="15" t="inlineStr">
        <is>
          <t xml:space="preserve">10</t>
        </is>
      </c>
      <c r="AX341" s="15" t="inlineStr">
        <is>
          <t xml:space="preserve">18</t>
        </is>
      </c>
      <c r="AZ341" s="15" t="inlineStr">
        <is>
          <t xml:space="preserve">2</t>
        </is>
      </c>
      <c r="BB341" s="15">
        <v>1</v>
      </c>
      <c r="BH341" s="15" t="inlineStr">
        <is>
          <t xml:space="preserve">parent=none; unlock=nsb_iw_armored_vehicles@1918; xp_cost=present; dismantle_cost_ic=1.0; conversion=none; operations=add=air_attack:18,ap_attack:10,build_cost_ic:2,hard_attack:2,reliability:-0.1,soft_attack:6; exclusions=category,eligibility,abbreviation,display</t>
        </is>
      </c>
    </row>
    <row r="342" spans="19:60">
      <c r="S342" s="15" t="inlineStr">
        <is>
          <t xml:space="preserve">Script-Owned</t>
        </is>
      </c>
      <c r="T342" s="15" t="inlineStr">
        <is>
          <t xml:space="preserve">tank_small_main_armament</t>
        </is>
      </c>
      <c r="U342" s="15" t="inlineStr">
        <is>
          <t xml:space="preserve">1955</t>
        </is>
      </c>
      <c r="V342" s="15" t="inlineStr">
        <is>
          <t xml:space="preserve">tank_anti_air_cannon_2</t>
        </is>
      </c>
      <c r="W342" s="15" t="inlineStr">
        <is>
          <t xml:space="preserve">nsb_aiming_devices2</t>
        </is>
      </c>
      <c r="X342" s="15" t="inlineStr">
        <is>
          <t xml:space="preserve">nsb_aiming_devices2</t>
        </is>
      </c>
      <c r="Y342" s="15" t="inlineStr">
        <is>
          <t xml:space="preserve">tank_small_main_armament</t>
        </is>
      </c>
      <c r="Z342" s="15" t="inlineStr">
        <is>
          <t xml:space="preserve">tank_anti_air_cannon_2</t>
        </is>
      </c>
      <c r="AA342" s="15" t="inlineStr">
        <is>
          <t xml:space="preserve">-10%</t>
        </is>
      </c>
      <c r="AC342" s="15" t="inlineStr">
        <is>
          <t xml:space="preserve">5</t>
        </is>
      </c>
      <c r="AE342" s="15" t="inlineStr">
        <is>
          <t xml:space="preserve">8</t>
        </is>
      </c>
      <c r="AM342" s="15" t="inlineStr">
        <is>
          <t xml:space="preserve">18</t>
        </is>
      </c>
      <c r="AX342" s="15" t="inlineStr">
        <is>
          <t xml:space="preserve">32</t>
        </is>
      </c>
      <c r="AZ342" s="15" t="inlineStr">
        <is>
          <t xml:space="preserve">3</t>
        </is>
      </c>
      <c r="BB342" s="15">
        <v>1</v>
      </c>
      <c r="BD342" s="15">
        <v>2</v>
      </c>
      <c r="BF342" s="15">
        <v>1</v>
      </c>
      <c r="BH342" s="15" t="inlineStr">
        <is>
          <t xml:space="preserve">parent=tank_anti_air_cannon; unlock=nsb_aiming_devices2@1955; xp_cost=present; dismantle_cost_ic=1.0; conversion=none; operations=add=air_attack:32,ap_attack:18,build_cost_ic:3,hard_attack:5,reliability:-0.1,soft_attack:8; resources=steel:2,tungsten:1; exclusions=category,eligibility,abbreviation,display</t>
        </is>
      </c>
    </row>
    <row r="343" spans="19:60">
      <c r="S343" s="15" t="inlineStr">
        <is>
          <t xml:space="preserve">Script-Owned</t>
        </is>
      </c>
      <c r="T343" s="15" t="inlineStr">
        <is>
          <t xml:space="preserve">tank_medium_main_armament</t>
        </is>
      </c>
      <c r="U343" s="15" t="inlineStr">
        <is>
          <t xml:space="preserve">1985</t>
        </is>
      </c>
      <c r="V343" s="15" t="inlineStr">
        <is>
          <t xml:space="preserve">tank_anti_air_cannon_3</t>
        </is>
      </c>
      <c r="W343" s="15" t="inlineStr">
        <is>
          <t xml:space="preserve">nsb_aiming_devices4</t>
        </is>
      </c>
      <c r="X343" s="15" t="inlineStr">
        <is>
          <t xml:space="preserve">nsb_aiming_devices4</t>
        </is>
      </c>
      <c r="Y343" s="15" t="inlineStr">
        <is>
          <t xml:space="preserve">tank_medium_main_armament</t>
        </is>
      </c>
      <c r="Z343" s="15" t="inlineStr">
        <is>
          <t xml:space="preserve">tank_anti_air_cannon_3</t>
        </is>
      </c>
      <c r="AA343" s="15" t="inlineStr">
        <is>
          <t xml:space="preserve">-10%</t>
        </is>
      </c>
      <c r="AC343" s="15" t="inlineStr">
        <is>
          <t xml:space="preserve">5</t>
        </is>
      </c>
      <c r="AE343" s="15" t="inlineStr">
        <is>
          <t xml:space="preserve">10</t>
        </is>
      </c>
      <c r="AM343" s="15" t="inlineStr">
        <is>
          <t xml:space="preserve">24</t>
        </is>
      </c>
      <c r="AX343" s="15" t="inlineStr">
        <is>
          <t xml:space="preserve">46</t>
        </is>
      </c>
      <c r="AZ343" s="15" t="inlineStr">
        <is>
          <t xml:space="preserve">4</t>
        </is>
      </c>
      <c r="BB343" s="15">
        <v>1</v>
      </c>
      <c r="BD343" s="15">
        <v>3</v>
      </c>
      <c r="BF343" s="15">
        <v>1</v>
      </c>
      <c r="BH343" s="15" t="inlineStr">
        <is>
          <t xml:space="preserve">parent=tank_anti_air_cannon_2; unlock=nsb_aiming_devices4@1985; xp_cost=present; dismantle_cost_ic=1.0; conversion=none; operations=add=air_attack:46,ap_attack:24,build_cost_ic:4,hard_attack:5,reliability:-0.1,soft_attack:10; resources=steel:3,tungsten:1; exclusions=category,eligibility,abbreviation,display</t>
        </is>
      </c>
    </row>
    <row r="344" spans="19:60">
      <c r="S344" s="15" t="inlineStr">
        <is>
          <t xml:space="preserve">Script-Owned</t>
        </is>
      </c>
      <c r="T344" s="15" t="inlineStr">
        <is>
          <t xml:space="preserve">tank_engine_gasoline</t>
        </is>
      </c>
      <c r="U344" s="15" t="inlineStr">
        <is>
          <t xml:space="preserve">1918</t>
        </is>
      </c>
      <c r="V344" s="15" t="inlineStr">
        <is>
          <t xml:space="preserve">tank_gasoline_engine</t>
        </is>
      </c>
      <c r="W344" s="15" t="inlineStr">
        <is>
          <t xml:space="preserve">nsb_iw_armored_vehicles</t>
        </is>
      </c>
      <c r="X344" s="15" t="inlineStr">
        <is>
          <t xml:space="preserve">nsb_iw_armored_vehicles</t>
        </is>
      </c>
      <c r="Y344" s="15" t="inlineStr">
        <is>
          <t xml:space="preserve">tank_engine_gasoline</t>
        </is>
      </c>
      <c r="Z344" s="15" t="inlineStr">
        <is>
          <t xml:space="preserve">tank_gasoline_engine</t>
        </is>
      </c>
      <c r="AO344" s="15" t="inlineStr">
        <is>
          <t xml:space="preserve">0.5</t>
        </is>
      </c>
      <c r="AP344" s="15" t="inlineStr">
        <is>
          <t xml:space="preserve">15%</t>
        </is>
      </c>
      <c r="AV344" s="15" t="inlineStr">
        <is>
          <t xml:space="preserve">2</t>
        </is>
      </c>
      <c r="AZ344" s="15" t="inlineStr">
        <is>
          <t xml:space="preserve">1</t>
        </is>
      </c>
      <c r="BB344" t="inlineStr">
        <is>
          <t>0.5</t>
        </is>
      </c>
      <c r="BH344" s="15" t="inlineStr">
        <is>
          <t xml:space="preserve">parent=none; unlock=nsb_iw_armored_vehicles@1918; xp_cost=absent; dismantle_cost_ic=absent; conversion=none; operations=add=build_cost_ic:1,fuel_consumption:2,maximum_speed:0.5; multiply=maximum_speed:0.15; exclusions=category,eligibility,abbreviation,display</t>
        </is>
      </c>
    </row>
  </sheetData>
  <mergeCells count="99">
    <mergeCell ref="AA258:BB258"/>
    <mergeCell ref="BC258:BG258"/>
    <mergeCell ref="T275:T281"/>
    <mergeCell ref="T283:T285"/>
    <mergeCell ref="T287:T289"/>
    <mergeCell ref="T260:T268"/>
    <mergeCell ref="T270:T273"/>
    <mergeCell ref="S211:S255"/>
    <mergeCell ref="S258:S259"/>
    <mergeCell ref="T258:T259"/>
    <mergeCell ref="U258:U259"/>
    <mergeCell ref="V258:V259"/>
    <mergeCell ref="T239:T242"/>
    <mergeCell ref="T248:T250"/>
    <mergeCell ref="T252:T255"/>
    <mergeCell ref="BC209:BG209"/>
    <mergeCell ref="T211:T220"/>
    <mergeCell ref="T222:T237"/>
    <mergeCell ref="U209:U210"/>
    <mergeCell ref="V209:V210"/>
    <mergeCell ref="W209:W210"/>
    <mergeCell ref="X209:Y209"/>
    <mergeCell ref="Z209:Z210"/>
    <mergeCell ref="AA209:BB209"/>
    <mergeCell ref="S209:S210"/>
    <mergeCell ref="T209:T210"/>
    <mergeCell ref="X158:Y158"/>
    <mergeCell ref="T173:T176"/>
    <mergeCell ref="T186:T189"/>
    <mergeCell ref="T178:T184"/>
    <mergeCell ref="T191:T198"/>
    <mergeCell ref="T200:T206"/>
    <mergeCell ref="BC158:BG158"/>
    <mergeCell ref="T160:T166"/>
    <mergeCell ref="S158:S159"/>
    <mergeCell ref="T158:T159"/>
    <mergeCell ref="U158:U159"/>
    <mergeCell ref="V158:V159"/>
    <mergeCell ref="W158:W159"/>
    <mergeCell ref="S160:S206"/>
    <mergeCell ref="AA158:BB158"/>
    <mergeCell ref="T168:T171"/>
    <mergeCell ref="S84:S155"/>
    <mergeCell ref="Z1:Z2"/>
    <mergeCell ref="T34:T47"/>
    <mergeCell ref="T49:T55"/>
    <mergeCell ref="T57:T61"/>
    <mergeCell ref="T63:T68"/>
    <mergeCell ref="V32:V33"/>
    <mergeCell ref="W32:W33"/>
    <mergeCell ref="X32:Y32"/>
    <mergeCell ref="Z32:Z33"/>
    <mergeCell ref="T144:T147"/>
    <mergeCell ref="T149:T155"/>
    <mergeCell ref="T107:T111"/>
    <mergeCell ref="T129:T134"/>
    <mergeCell ref="T136:T142"/>
    <mergeCell ref="T126:T127"/>
    <mergeCell ref="AA1:BB1"/>
    <mergeCell ref="BC1:BG1"/>
    <mergeCell ref="V1:V2"/>
    <mergeCell ref="W1:W2"/>
    <mergeCell ref="S32:S33"/>
    <mergeCell ref="T32:T33"/>
    <mergeCell ref="T1:T2"/>
    <mergeCell ref="U1:U2"/>
    <mergeCell ref="X1:Y1"/>
    <mergeCell ref="T3:T12"/>
    <mergeCell ref="S1:S2"/>
    <mergeCell ref="T14:T23"/>
    <mergeCell ref="T25:T29"/>
    <mergeCell ref="S3:S29"/>
    <mergeCell ref="BC32:BG32"/>
    <mergeCell ref="U32:U33"/>
    <mergeCell ref="BC82:BG82"/>
    <mergeCell ref="S34:S79"/>
    <mergeCell ref="S82:S83"/>
    <mergeCell ref="T82:T83"/>
    <mergeCell ref="U82:U83"/>
    <mergeCell ref="W82:W83"/>
    <mergeCell ref="V82:V83"/>
    <mergeCell ref="T70:T75"/>
    <mergeCell ref="T77:T79"/>
    <mergeCell ref="X82:Y82"/>
    <mergeCell ref="Z82:Z83"/>
    <mergeCell ref="AA32:BB32"/>
    <mergeCell ref="AA82:BB82"/>
    <mergeCell ref="T84:T94"/>
    <mergeCell ref="T96:T98"/>
    <mergeCell ref="T100:T105"/>
    <mergeCell ref="T304:T308"/>
    <mergeCell ref="T113:T120"/>
    <mergeCell ref="T122:T124"/>
    <mergeCell ref="Z158:Z159"/>
    <mergeCell ref="W258:W259"/>
    <mergeCell ref="X258:Y258"/>
    <mergeCell ref="Z258:Z259"/>
    <mergeCell ref="T293:T296"/>
    <mergeCell ref="T298:T30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B040C-2794-41DC-AEE1-270176EE9938}">
  <dimension ref="C4:AQ397"/>
  <sheetViews>
    <sheetView topLeftCell="B370" workbookViewId="0">
      <selection activeCell="G371" sqref="G371"/>
    </sheetView>
  </sheetViews>
  <sheetFormatPr defaultRowHeight="15"/>
  <cols>
    <col min="3" max="3" width="28.42578125" customWidth="1"/>
    <col min="4" max="4" width="31.140625" customWidth="1"/>
    <col min="6" max="6" width="49.7109375" customWidth="1"/>
    <col min="7" max="7" width="14.140625" customWidth="1"/>
    <col min="8" max="8" width="13.140625" customWidth="1"/>
    <col min="9" max="9" width="14.42578125" customWidth="1"/>
    <col min="10" max="10" width="14.5703125" customWidth="1"/>
    <col min="11" max="11" width="17.140625" customWidth="1"/>
    <col min="12" max="12" width="13.85546875" customWidth="1"/>
    <col min="13" max="13" width="15" customWidth="1"/>
    <col min="14" max="14" width="18.7109375" customWidth="1"/>
    <col min="15" max="15" width="13.5703125" customWidth="1"/>
    <col min="16" max="16" width="14.7109375" customWidth="1"/>
    <col min="17" max="17" width="16" customWidth="1"/>
    <col min="18" max="18" width="18.28515625" customWidth="1"/>
    <col min="19" max="19" width="14" customWidth="1"/>
    <col min="20" max="20" width="12.42578125" customWidth="1"/>
    <col min="21" max="21" width="15.28515625" customWidth="1"/>
    <col min="22" max="24" width="12.42578125" customWidth="1"/>
    <col min="25" max="25" width="14.42578125" customWidth="1"/>
    <col min="26" max="28" width="13.28515625" customWidth="1"/>
    <col min="29" max="29" width="15" customWidth="1"/>
    <col min="30" max="30" width="20.28515625" customWidth="1"/>
    <col min="31" max="31" width="23.42578125" customWidth="1"/>
    <col min="32" max="32" width="18.42578125" customWidth="1"/>
    <col min="33" max="35" width="21.42578125" customWidth="1"/>
    <col min="36" max="36" width="21.5703125" customWidth="1"/>
    <col min="37" max="37" width="18" customWidth="1"/>
    <col min="38" max="38" width="17.140625" customWidth="1"/>
    <col min="39" max="39" width="16.42578125" customWidth="1"/>
    <col min="40" max="40" width="20.42578125" customWidth="1"/>
    <col min="41" max="41" width="15.140625" customWidth="1"/>
    <col min="42" max="42" width="16.7109375" customWidth="1"/>
    <col min="43" max="43" width="18.5703125" customWidth="1"/>
  </cols>
  <sheetData>
    <row r="4" spans="3:43">
      <c r="C4" s="68"/>
      <c r="D4" s="68"/>
      <c r="E4" s="68"/>
      <c r="F4" s="68"/>
      <c r="G4" s="46" t="s">
        <v>244</v>
      </c>
      <c r="H4" s="46" t="s">
        <v>245</v>
      </c>
      <c r="I4" s="46" t="s">
        <v>248</v>
      </c>
      <c r="J4" s="46" t="s">
        <v>250</v>
      </c>
      <c r="K4" s="46" t="s">
        <v>8</v>
      </c>
      <c r="L4" s="46" t="s">
        <v>127</v>
      </c>
      <c r="M4" s="47" t="s">
        <v>9</v>
      </c>
      <c r="N4" s="46" t="s">
        <v>261</v>
      </c>
      <c r="O4" s="46" t="s">
        <v>262</v>
      </c>
      <c r="X4" s="67"/>
      <c r="Y4" s="56"/>
      <c r="Z4" s="67"/>
      <c r="AA4" s="67"/>
      <c r="AB4" s="67"/>
      <c r="AC4" s="61"/>
      <c r="AD4" s="67"/>
      <c r="AE4" s="67"/>
      <c r="AF4" s="67"/>
      <c r="AG4" s="67"/>
      <c r="AH4" s="67"/>
      <c r="AI4" s="67"/>
      <c r="AJ4" s="56"/>
      <c r="AK4" s="67"/>
      <c r="AL4" s="67"/>
      <c r="AM4" s="67"/>
      <c r="AP4" s="46" t="s">
        <v>263</v>
      </c>
      <c r="AQ4" s="46" t="s">
        <v>264</v>
      </c>
    </row>
    <row r="5" spans="3:43">
      <c r="C5" s="71" t="s">
        <v>483</v>
      </c>
      <c r="D5" s="71" t="s">
        <v>265</v>
      </c>
      <c r="E5" s="15">
        <v>1939</v>
      </c>
      <c r="F5" s="15" t="s">
        <v>266</v>
      </c>
      <c r="G5" s="26">
        <v>1</v>
      </c>
      <c r="H5" s="26">
        <v>0.7</v>
      </c>
      <c r="I5" s="15">
        <v>20</v>
      </c>
      <c r="J5" s="15">
        <v>6</v>
      </c>
      <c r="K5" s="15">
        <v>5</v>
      </c>
      <c r="L5" s="15">
        <v>6</v>
      </c>
      <c r="M5" s="25">
        <v>2.5</v>
      </c>
      <c r="N5" s="15">
        <v>1</v>
      </c>
      <c r="AF5" s="15"/>
    </row>
    <row r="6" spans="3:43">
      <c r="C6" s="71"/>
      <c r="D6" s="71"/>
      <c r="E6">
        <v>1942</v>
      </c>
      <c r="F6" t="s">
        <v>269</v>
      </c>
      <c r="G6" s="27">
        <f>G5+5%</f>
        <v>1.05</v>
      </c>
      <c r="H6" s="27">
        <f>H5</f>
        <v>0.7</v>
      </c>
      <c r="I6" s="34">
        <f>I5</f>
        <v>20</v>
      </c>
      <c r="J6">
        <f>J5</f>
        <v>6</v>
      </c>
      <c r="K6">
        <f>K5+2.5</f>
        <v>7.5</v>
      </c>
      <c r="L6">
        <f>L5+0.5</f>
        <v>6.5</v>
      </c>
      <c r="M6" s="24">
        <f>M5+0.4</f>
        <v>2.9</v>
      </c>
      <c r="N6">
        <v>1</v>
      </c>
    </row>
    <row r="7" spans="3:43">
      <c r="C7" s="71"/>
      <c r="D7" s="71"/>
      <c r="E7">
        <v>1944</v>
      </c>
      <c r="F7" t="s">
        <v>272</v>
      </c>
      <c r="G7" s="27">
        <f>G6+5%</f>
        <v>1.1000000000000001</v>
      </c>
      <c r="H7" s="27">
        <f>H6</f>
        <v>0.7</v>
      </c>
      <c r="I7" s="34">
        <f>I5</f>
        <v>20</v>
      </c>
      <c r="J7">
        <f>J6</f>
        <v>6</v>
      </c>
      <c r="K7">
        <f t="shared" ref="K7:K14" si="0">K6+2.5</f>
        <v>10</v>
      </c>
      <c r="L7">
        <f t="shared" ref="L7:L14" si="1">L6+0.5</f>
        <v>7</v>
      </c>
      <c r="M7" s="24">
        <f t="shared" ref="M7:M14" si="2">M6+0.4</f>
        <v>3.3</v>
      </c>
      <c r="N7">
        <v>1</v>
      </c>
    </row>
    <row r="8" spans="3:43">
      <c r="C8" s="71"/>
      <c r="D8" s="71"/>
      <c r="E8">
        <v>1950</v>
      </c>
      <c r="F8" t="s">
        <v>275</v>
      </c>
      <c r="G8" s="27">
        <f>G7+5%</f>
        <v>1.1500000000000001</v>
      </c>
      <c r="H8" s="27">
        <f>H7</f>
        <v>0.7</v>
      </c>
      <c r="I8" s="34">
        <f>I5</f>
        <v>20</v>
      </c>
      <c r="J8">
        <f>J7</f>
        <v>6</v>
      </c>
      <c r="K8">
        <f t="shared" si="0"/>
        <v>12.5</v>
      </c>
      <c r="L8">
        <f t="shared" si="1"/>
        <v>7.5</v>
      </c>
      <c r="M8" s="24">
        <f t="shared" si="2"/>
        <v>3.6999999999999997</v>
      </c>
      <c r="N8">
        <v>2</v>
      </c>
      <c r="O8">
        <v>1</v>
      </c>
    </row>
    <row r="9" spans="3:43">
      <c r="C9" s="71"/>
      <c r="D9" s="71"/>
      <c r="E9">
        <v>1960</v>
      </c>
      <c r="F9" t="s">
        <v>278</v>
      </c>
      <c r="G9" s="27">
        <f>G8+5%</f>
        <v>1.2000000000000002</v>
      </c>
      <c r="H9" s="27">
        <f>H8</f>
        <v>0.7</v>
      </c>
      <c r="I9" s="34">
        <f>I6</f>
        <v>20</v>
      </c>
      <c r="J9">
        <f>J8</f>
        <v>6</v>
      </c>
      <c r="K9">
        <f t="shared" si="0"/>
        <v>15</v>
      </c>
      <c r="L9">
        <f t="shared" si="1"/>
        <v>8</v>
      </c>
      <c r="M9" s="24">
        <f>M8+0.4</f>
        <v>4.0999999999999996</v>
      </c>
      <c r="N9">
        <v>2</v>
      </c>
      <c r="O9">
        <v>1</v>
      </c>
    </row>
    <row r="10" spans="3:43">
      <c r="C10" s="71"/>
      <c r="D10" s="71"/>
      <c r="E10">
        <v>1970</v>
      </c>
      <c r="F10" t="s">
        <v>281</v>
      </c>
      <c r="G10" s="27">
        <f>G9+5%</f>
        <v>1.2500000000000002</v>
      </c>
      <c r="H10" s="27">
        <f>H9</f>
        <v>0.7</v>
      </c>
      <c r="I10" s="34">
        <f>I7</f>
        <v>20</v>
      </c>
      <c r="J10">
        <f>J9</f>
        <v>6</v>
      </c>
      <c r="K10">
        <f t="shared" si="0"/>
        <v>17.5</v>
      </c>
      <c r="L10">
        <f t="shared" si="1"/>
        <v>8.5</v>
      </c>
      <c r="M10" s="24">
        <f t="shared" si="2"/>
        <v>4.5</v>
      </c>
      <c r="N10">
        <v>2</v>
      </c>
      <c r="O10">
        <v>1</v>
      </c>
    </row>
    <row r="11" spans="3:43">
      <c r="C11" s="71"/>
      <c r="D11" s="71"/>
      <c r="E11">
        <v>1980</v>
      </c>
      <c r="F11" t="s">
        <v>284</v>
      </c>
      <c r="G11" s="27">
        <f>G10+5%</f>
        <v>1.3000000000000003</v>
      </c>
      <c r="H11" s="27">
        <f>H10</f>
        <v>0.7</v>
      </c>
      <c r="I11" s="34">
        <f>I8</f>
        <v>20</v>
      </c>
      <c r="J11">
        <f>J10</f>
        <v>6</v>
      </c>
      <c r="K11">
        <f t="shared" si="0"/>
        <v>20</v>
      </c>
      <c r="L11">
        <f t="shared" si="1"/>
        <v>9</v>
      </c>
      <c r="M11" s="24">
        <f t="shared" si="2"/>
        <v>4.9000000000000004</v>
      </c>
      <c r="N11">
        <v>2</v>
      </c>
      <c r="O11">
        <v>1</v>
      </c>
    </row>
    <row r="12" spans="3:43">
      <c r="C12" s="71"/>
      <c r="D12" s="71"/>
      <c r="E12">
        <v>1990</v>
      </c>
      <c r="F12" t="s">
        <v>287</v>
      </c>
      <c r="G12" s="27">
        <f>G11+5%</f>
        <v>1.3500000000000003</v>
      </c>
      <c r="H12" s="27">
        <f>H11</f>
        <v>0.7</v>
      </c>
      <c r="I12" s="34">
        <f>I9</f>
        <v>20</v>
      </c>
      <c r="J12">
        <f>J11</f>
        <v>6</v>
      </c>
      <c r="K12">
        <f t="shared" si="0"/>
        <v>22.5</v>
      </c>
      <c r="L12">
        <f t="shared" si="1"/>
        <v>9.5</v>
      </c>
      <c r="M12" s="24">
        <f t="shared" si="2"/>
        <v>5.3000000000000007</v>
      </c>
      <c r="N12">
        <v>2</v>
      </c>
      <c r="O12">
        <v>1</v>
      </c>
    </row>
    <row r="13" spans="3:43">
      <c r="C13" s="71"/>
      <c r="D13" s="71"/>
      <c r="E13">
        <v>2000</v>
      </c>
      <c r="F13" t="s">
        <v>290</v>
      </c>
      <c r="G13" s="27">
        <f>G12+5%</f>
        <v>1.4000000000000004</v>
      </c>
      <c r="H13" s="27">
        <f>H12</f>
        <v>0.7</v>
      </c>
      <c r="I13" s="34">
        <f>I10</f>
        <v>20</v>
      </c>
      <c r="J13">
        <f>J12</f>
        <v>6</v>
      </c>
      <c r="K13">
        <f t="shared" si="0"/>
        <v>25</v>
      </c>
      <c r="L13">
        <f t="shared" si="1"/>
        <v>10</v>
      </c>
      <c r="M13" s="24">
        <f t="shared" si="2"/>
        <v>5.7000000000000011</v>
      </c>
      <c r="N13">
        <v>2</v>
      </c>
      <c r="O13">
        <v>1</v>
      </c>
    </row>
    <row r="14" spans="3:43">
      <c r="C14" s="71"/>
      <c r="D14" s="71"/>
      <c r="E14">
        <v>2010</v>
      </c>
      <c r="F14" t="s">
        <v>293</v>
      </c>
      <c r="G14" s="27">
        <f>G13+5%</f>
        <v>1.4500000000000004</v>
      </c>
      <c r="H14" s="27">
        <f>H13</f>
        <v>0.7</v>
      </c>
      <c r="I14" s="34">
        <f>I11</f>
        <v>20</v>
      </c>
      <c r="J14">
        <f>J13</f>
        <v>6</v>
      </c>
      <c r="K14">
        <f t="shared" si="0"/>
        <v>27.5</v>
      </c>
      <c r="L14">
        <f t="shared" si="1"/>
        <v>10.5</v>
      </c>
      <c r="M14" s="24">
        <f t="shared" si="2"/>
        <v>6.1000000000000014</v>
      </c>
      <c r="N14">
        <v>2</v>
      </c>
      <c r="O14">
        <v>1</v>
      </c>
    </row>
    <row r="15" spans="3:43">
      <c r="C15" s="71"/>
    </row>
    <row r="16" spans="3:43">
      <c r="C16" s="71"/>
      <c r="D16" s="71" t="s">
        <v>296</v>
      </c>
      <c r="E16" s="15">
        <v>1939</v>
      </c>
      <c r="F16" s="15" t="s">
        <v>297</v>
      </c>
      <c r="G16" s="26">
        <v>1.1000000000000001</v>
      </c>
      <c r="H16" s="26">
        <v>0.8</v>
      </c>
      <c r="I16" s="15">
        <v>30</v>
      </c>
      <c r="J16" s="15">
        <v>5</v>
      </c>
      <c r="K16" s="15">
        <v>30</v>
      </c>
      <c r="L16" s="15">
        <v>5</v>
      </c>
      <c r="M16" s="25">
        <v>5</v>
      </c>
      <c r="N16">
        <v>2</v>
      </c>
      <c r="AF16" s="15"/>
    </row>
    <row r="17" spans="3:32">
      <c r="C17" s="71"/>
      <c r="D17" s="71"/>
      <c r="E17">
        <v>1942</v>
      </c>
      <c r="F17" t="s">
        <v>300</v>
      </c>
      <c r="G17" s="27">
        <f>G16+5%</f>
        <v>1.1500000000000001</v>
      </c>
      <c r="H17" s="27">
        <f>H16</f>
        <v>0.8</v>
      </c>
      <c r="I17" s="34">
        <f>I16</f>
        <v>30</v>
      </c>
      <c r="J17">
        <f>J16</f>
        <v>5</v>
      </c>
      <c r="K17">
        <f t="shared" ref="K17:K25" si="3">K16+5</f>
        <v>35</v>
      </c>
      <c r="L17">
        <f t="shared" ref="L17:L25" si="4">L16+0.5</f>
        <v>5.5</v>
      </c>
      <c r="M17" s="24">
        <f>M16+0.75</f>
        <v>5.75</v>
      </c>
      <c r="N17">
        <v>2</v>
      </c>
    </row>
    <row r="18" spans="3:32">
      <c r="C18" s="71"/>
      <c r="D18" s="71"/>
      <c r="E18">
        <v>1944</v>
      </c>
      <c r="F18" t="s">
        <v>303</v>
      </c>
      <c r="G18" s="27">
        <f>G17+5%</f>
        <v>1.2000000000000002</v>
      </c>
      <c r="H18" s="27">
        <f>H17</f>
        <v>0.8</v>
      </c>
      <c r="I18" s="34">
        <f>I17</f>
        <v>30</v>
      </c>
      <c r="J18">
        <f t="shared" ref="J18:J25" si="5">J17</f>
        <v>5</v>
      </c>
      <c r="K18">
        <f t="shared" si="3"/>
        <v>40</v>
      </c>
      <c r="L18">
        <f t="shared" si="4"/>
        <v>6</v>
      </c>
      <c r="M18" s="24">
        <f t="shared" ref="M18:M24" si="6">M17+0.75</f>
        <v>6.5</v>
      </c>
      <c r="N18">
        <v>2</v>
      </c>
    </row>
    <row r="19" spans="3:32">
      <c r="C19" s="71"/>
      <c r="D19" s="71"/>
      <c r="E19">
        <v>1950</v>
      </c>
      <c r="F19" t="s">
        <v>306</v>
      </c>
      <c r="G19" s="27">
        <f>G18+5%</f>
        <v>1.2500000000000002</v>
      </c>
      <c r="H19" s="27">
        <f>H18</f>
        <v>0.8</v>
      </c>
      <c r="I19" s="34">
        <f>I18</f>
        <v>30</v>
      </c>
      <c r="J19">
        <f t="shared" si="5"/>
        <v>5</v>
      </c>
      <c r="K19">
        <f t="shared" si="3"/>
        <v>45</v>
      </c>
      <c r="L19">
        <f t="shared" si="4"/>
        <v>6.5</v>
      </c>
      <c r="M19" s="24">
        <f t="shared" si="6"/>
        <v>7.25</v>
      </c>
      <c r="N19">
        <v>3</v>
      </c>
    </row>
    <row r="20" spans="3:32">
      <c r="C20" s="71"/>
      <c r="D20" s="71"/>
      <c r="E20">
        <v>1960</v>
      </c>
      <c r="F20" t="s">
        <v>309</v>
      </c>
      <c r="G20" s="27">
        <f>G19+5%</f>
        <v>1.3000000000000003</v>
      </c>
      <c r="H20" s="27">
        <f>H19</f>
        <v>0.8</v>
      </c>
      <c r="I20" s="34">
        <f>I19</f>
        <v>30</v>
      </c>
      <c r="J20">
        <f t="shared" si="5"/>
        <v>5</v>
      </c>
      <c r="K20">
        <f t="shared" si="3"/>
        <v>50</v>
      </c>
      <c r="L20">
        <f t="shared" si="4"/>
        <v>7</v>
      </c>
      <c r="M20" s="24">
        <f t="shared" si="6"/>
        <v>8</v>
      </c>
      <c r="N20">
        <v>3</v>
      </c>
    </row>
    <row r="21" spans="3:32">
      <c r="C21" s="71"/>
      <c r="D21" s="71"/>
      <c r="E21">
        <v>1970</v>
      </c>
      <c r="F21" t="s">
        <v>312</v>
      </c>
      <c r="G21" s="27">
        <f>G20+5%</f>
        <v>1.3500000000000003</v>
      </c>
      <c r="H21" s="27">
        <f>H20</f>
        <v>0.8</v>
      </c>
      <c r="I21" s="34">
        <f>I20</f>
        <v>30</v>
      </c>
      <c r="J21">
        <f t="shared" si="5"/>
        <v>5</v>
      </c>
      <c r="K21">
        <f t="shared" si="3"/>
        <v>55</v>
      </c>
      <c r="L21">
        <f t="shared" si="4"/>
        <v>7.5</v>
      </c>
      <c r="M21" s="24">
        <f t="shared" si="6"/>
        <v>8.75</v>
      </c>
      <c r="N21">
        <v>3</v>
      </c>
    </row>
    <row r="22" spans="3:32">
      <c r="C22" s="71"/>
      <c r="D22" s="71"/>
      <c r="E22">
        <v>1980</v>
      </c>
      <c r="F22" t="s">
        <v>315</v>
      </c>
      <c r="G22" s="27">
        <f>G21+5%</f>
        <v>1.4000000000000004</v>
      </c>
      <c r="H22" s="27">
        <f>H21</f>
        <v>0.8</v>
      </c>
      <c r="I22" s="34">
        <f>I21</f>
        <v>30</v>
      </c>
      <c r="J22">
        <f t="shared" si="5"/>
        <v>5</v>
      </c>
      <c r="K22">
        <f t="shared" si="3"/>
        <v>60</v>
      </c>
      <c r="L22">
        <f t="shared" si="4"/>
        <v>8</v>
      </c>
      <c r="M22" s="24">
        <f t="shared" si="6"/>
        <v>9.5</v>
      </c>
      <c r="N22">
        <v>3</v>
      </c>
    </row>
    <row r="23" spans="3:32">
      <c r="C23" s="71"/>
      <c r="D23" s="71"/>
      <c r="E23">
        <v>1990</v>
      </c>
      <c r="F23" t="s">
        <v>318</v>
      </c>
      <c r="G23" s="27">
        <f>G22+5%</f>
        <v>1.4500000000000004</v>
      </c>
      <c r="H23" s="27">
        <f>H22</f>
        <v>0.8</v>
      </c>
      <c r="I23" s="34">
        <f>I22</f>
        <v>30</v>
      </c>
      <c r="J23">
        <f t="shared" si="5"/>
        <v>5</v>
      </c>
      <c r="K23">
        <f t="shared" si="3"/>
        <v>65</v>
      </c>
      <c r="L23">
        <f t="shared" si="4"/>
        <v>8.5</v>
      </c>
      <c r="M23" s="24">
        <f t="shared" si="6"/>
        <v>10.25</v>
      </c>
      <c r="N23">
        <v>3</v>
      </c>
    </row>
    <row r="24" spans="3:32">
      <c r="C24" s="71"/>
      <c r="D24" s="71"/>
      <c r="E24">
        <v>2000</v>
      </c>
      <c r="F24" t="s">
        <v>321</v>
      </c>
      <c r="G24" s="27">
        <f>G23+5%</f>
        <v>1.5000000000000004</v>
      </c>
      <c r="H24" s="27">
        <f>H23</f>
        <v>0.8</v>
      </c>
      <c r="I24" s="34">
        <f>I23</f>
        <v>30</v>
      </c>
      <c r="J24">
        <f t="shared" si="5"/>
        <v>5</v>
      </c>
      <c r="K24">
        <f t="shared" si="3"/>
        <v>70</v>
      </c>
      <c r="L24">
        <f t="shared" si="4"/>
        <v>9</v>
      </c>
      <c r="M24" s="24">
        <f t="shared" si="6"/>
        <v>11</v>
      </c>
      <c r="N24">
        <v>3</v>
      </c>
    </row>
    <row r="25" spans="3:32">
      <c r="C25" s="71"/>
      <c r="D25" s="71"/>
      <c r="E25">
        <v>2010</v>
      </c>
      <c r="F25" t="s">
        <v>324</v>
      </c>
      <c r="G25" s="27">
        <f>G24+5%</f>
        <v>1.5500000000000005</v>
      </c>
      <c r="H25" s="27">
        <f>H24</f>
        <v>0.8</v>
      </c>
      <c r="I25" s="34">
        <f>I24</f>
        <v>30</v>
      </c>
      <c r="J25">
        <f t="shared" si="5"/>
        <v>5</v>
      </c>
      <c r="K25">
        <f t="shared" si="3"/>
        <v>75</v>
      </c>
      <c r="L25">
        <f t="shared" si="4"/>
        <v>9.5</v>
      </c>
      <c r="M25" s="24">
        <f>M24+0.75</f>
        <v>11.75</v>
      </c>
      <c r="N25">
        <v>3</v>
      </c>
    </row>
    <row r="26" spans="3:32">
      <c r="C26" s="71"/>
    </row>
    <row r="27" spans="3:32">
      <c r="C27" s="71"/>
      <c r="D27" s="71" t="s">
        <v>327</v>
      </c>
      <c r="E27" s="15">
        <v>1939</v>
      </c>
      <c r="F27" s="15" t="s">
        <v>328</v>
      </c>
      <c r="G27" s="26">
        <v>1.2</v>
      </c>
      <c r="H27" s="33">
        <v>0.85</v>
      </c>
      <c r="I27" s="15">
        <v>35</v>
      </c>
      <c r="J27" s="15">
        <v>4</v>
      </c>
      <c r="K27" s="15">
        <v>45</v>
      </c>
      <c r="L27" s="15">
        <v>4</v>
      </c>
      <c r="M27" s="25">
        <v>9</v>
      </c>
      <c r="N27">
        <v>3</v>
      </c>
      <c r="AF27" s="15"/>
    </row>
    <row r="28" spans="3:32">
      <c r="C28" s="71"/>
      <c r="D28" s="71"/>
      <c r="E28">
        <v>1942</v>
      </c>
      <c r="F28" t="s">
        <v>331</v>
      </c>
      <c r="G28" s="27">
        <f>G27+5%</f>
        <v>1.25</v>
      </c>
      <c r="H28" s="27">
        <f>H27</f>
        <v>0.85</v>
      </c>
      <c r="I28" s="34">
        <f>I27</f>
        <v>35</v>
      </c>
      <c r="J28">
        <f>J27</f>
        <v>4</v>
      </c>
      <c r="K28">
        <f t="shared" ref="K28:K31" si="7">K27+5</f>
        <v>50</v>
      </c>
      <c r="L28">
        <f t="shared" ref="L28:L31" si="8">L27+0.5</f>
        <v>4.5</v>
      </c>
      <c r="M28" s="24">
        <f>M27+1</f>
        <v>10</v>
      </c>
      <c r="N28">
        <v>3</v>
      </c>
    </row>
    <row r="29" spans="3:32">
      <c r="C29" s="71"/>
      <c r="D29" s="71"/>
      <c r="E29">
        <v>1944</v>
      </c>
      <c r="F29" t="s">
        <v>334</v>
      </c>
      <c r="G29" s="27">
        <f>G28+5%</f>
        <v>1.3</v>
      </c>
      <c r="H29" s="27">
        <f>H28</f>
        <v>0.85</v>
      </c>
      <c r="I29" s="34">
        <f>I28</f>
        <v>35</v>
      </c>
      <c r="J29">
        <f t="shared" ref="J29:J31" si="9">J28</f>
        <v>4</v>
      </c>
      <c r="K29">
        <f t="shared" si="7"/>
        <v>55</v>
      </c>
      <c r="L29">
        <f t="shared" si="8"/>
        <v>5</v>
      </c>
      <c r="M29" s="24">
        <f t="shared" ref="M29:M31" si="10">M28+1</f>
        <v>11</v>
      </c>
      <c r="N29">
        <v>3</v>
      </c>
    </row>
    <row r="30" spans="3:32">
      <c r="C30" s="71"/>
      <c r="D30" s="71"/>
      <c r="E30">
        <v>1950</v>
      </c>
      <c r="F30" t="s">
        <v>337</v>
      </c>
      <c r="G30" s="27">
        <f>G29+5%</f>
        <v>1.35</v>
      </c>
      <c r="H30" s="27">
        <f>H29</f>
        <v>0.85</v>
      </c>
      <c r="I30" s="34">
        <f>I29</f>
        <v>35</v>
      </c>
      <c r="J30">
        <f t="shared" si="9"/>
        <v>4</v>
      </c>
      <c r="K30">
        <f t="shared" si="7"/>
        <v>60</v>
      </c>
      <c r="L30">
        <f t="shared" si="8"/>
        <v>5.5</v>
      </c>
      <c r="M30" s="24">
        <f t="shared" si="10"/>
        <v>12</v>
      </c>
      <c r="N30">
        <v>4</v>
      </c>
    </row>
    <row r="31" spans="3:32">
      <c r="C31" s="71"/>
      <c r="D31" s="71"/>
      <c r="E31">
        <v>1955</v>
      </c>
      <c r="F31" t="s">
        <v>340</v>
      </c>
      <c r="G31" s="27">
        <f>G30+5%</f>
        <v>1.4000000000000001</v>
      </c>
      <c r="H31" s="27">
        <f>H30</f>
        <v>0.85</v>
      </c>
      <c r="I31" s="34">
        <f>I30</f>
        <v>35</v>
      </c>
      <c r="J31">
        <f t="shared" si="9"/>
        <v>4</v>
      </c>
      <c r="K31">
        <f t="shared" si="7"/>
        <v>65</v>
      </c>
      <c r="L31">
        <f t="shared" si="8"/>
        <v>6</v>
      </c>
      <c r="M31" s="24">
        <f t="shared" si="10"/>
        <v>13</v>
      </c>
      <c r="N31">
        <v>4</v>
      </c>
    </row>
    <row r="47" spans="3:43">
      <c r="C47" s="68"/>
      <c r="D47" s="68"/>
      <c r="E47" s="68"/>
      <c r="F47" s="68"/>
      <c r="G47" s="64" t="s">
        <v>244</v>
      </c>
      <c r="H47" s="46" t="s">
        <v>246</v>
      </c>
      <c r="I47" s="46" t="s">
        <v>247</v>
      </c>
      <c r="J47" s="46" t="s">
        <v>478</v>
      </c>
      <c r="K47" s="46" t="s">
        <v>127</v>
      </c>
      <c r="L47" s="47" t="s">
        <v>9</v>
      </c>
    </row>
    <row r="48" spans="3:43">
      <c r="C48" s="89" t="s">
        <v>128</v>
      </c>
      <c r="D48" s="91" t="s">
        <v>876</v>
      </c>
      <c r="E48">
        <v>1939</v>
      </c>
      <c r="F48" t="s">
        <v>132</v>
      </c>
      <c r="G48" s="10">
        <v>-0.05</v>
      </c>
      <c r="H48" s="27">
        <v>-0.55000000000000004</v>
      </c>
      <c r="I48" s="27">
        <v>-0.55000000000000004</v>
      </c>
      <c r="J48" s="27">
        <v>-0.8</v>
      </c>
      <c r="K48">
        <v>-0.2</v>
      </c>
      <c r="L48" s="24">
        <v>1.5</v>
      </c>
      <c r="AM48" s="67"/>
      <c r="AN48" s="67"/>
      <c r="AO48" s="67"/>
      <c r="AP48" s="67"/>
      <c r="AQ48" s="67"/>
    </row>
    <row r="49" spans="3:37">
      <c r="C49" s="89"/>
      <c r="D49" s="71"/>
      <c r="E49">
        <v>1942</v>
      </c>
      <c r="F49" t="s">
        <v>137</v>
      </c>
      <c r="G49" s="10">
        <v>-0.1</v>
      </c>
      <c r="H49" s="27">
        <f>H48+10%</f>
        <v>-0.45000000000000007</v>
      </c>
      <c r="I49" s="27">
        <f>I48+10%</f>
        <v>-0.45000000000000007</v>
      </c>
      <c r="J49" s="27">
        <v>-0.6</v>
      </c>
      <c r="K49">
        <v>-0.3</v>
      </c>
      <c r="L49" s="24">
        <f>L48+0.3</f>
        <v>1.8</v>
      </c>
    </row>
    <row r="50" spans="3:37">
      <c r="C50" s="89"/>
      <c r="D50" s="71"/>
      <c r="E50">
        <v>1944</v>
      </c>
      <c r="F50" t="s">
        <v>141</v>
      </c>
      <c r="G50" s="10">
        <v>-0.15</v>
      </c>
      <c r="H50" s="27">
        <f>H49+10%</f>
        <v>-0.35000000000000009</v>
      </c>
      <c r="I50" s="27">
        <f>I49+10%</f>
        <v>-0.35000000000000009</v>
      </c>
      <c r="J50" s="27">
        <v>-0.4</v>
      </c>
      <c r="K50">
        <v>-0.3</v>
      </c>
      <c r="L50" s="24">
        <f t="shared" ref="L50:L57" si="11">L49+0.3</f>
        <v>2.1</v>
      </c>
    </row>
    <row r="51" spans="3:37">
      <c r="C51" s="89"/>
      <c r="D51" s="71"/>
      <c r="E51">
        <v>1950</v>
      </c>
      <c r="F51" t="s">
        <v>145</v>
      </c>
      <c r="G51" s="10">
        <v>-0.15</v>
      </c>
      <c r="H51" s="27">
        <f>H50+10%</f>
        <v>-0.25000000000000011</v>
      </c>
      <c r="I51" s="27">
        <f>I50+10%</f>
        <v>-0.25000000000000011</v>
      </c>
      <c r="J51" s="27">
        <v>-0.2</v>
      </c>
      <c r="K51">
        <v>-0.3</v>
      </c>
      <c r="L51" s="24">
        <f t="shared" si="11"/>
        <v>2.4</v>
      </c>
    </row>
    <row r="52" spans="3:37">
      <c r="C52" s="89"/>
      <c r="D52" s="71"/>
      <c r="E52">
        <v>1960</v>
      </c>
      <c r="F52" t="s">
        <v>149</v>
      </c>
      <c r="G52" s="10">
        <v>-0.2</v>
      </c>
      <c r="H52" s="27">
        <f>H51+5%</f>
        <v>-0.20000000000000012</v>
      </c>
      <c r="I52" s="27">
        <f>I51+5%</f>
        <v>-0.20000000000000012</v>
      </c>
      <c r="J52" s="28">
        <v>-0.185</v>
      </c>
      <c r="K52">
        <v>-0.4</v>
      </c>
      <c r="L52" s="24">
        <f t="shared" si="11"/>
        <v>2.6999999999999997</v>
      </c>
    </row>
    <row r="53" spans="3:37">
      <c r="C53" s="89"/>
      <c r="D53" s="71"/>
      <c r="E53">
        <v>1970</v>
      </c>
      <c r="F53" t="s">
        <v>155</v>
      </c>
      <c r="G53" s="10">
        <v>-0.2</v>
      </c>
      <c r="H53" s="27">
        <f>H52+5%</f>
        <v>-0.15000000000000013</v>
      </c>
      <c r="I53" s="27">
        <f t="shared" ref="I53:I57" si="12">I52+5%</f>
        <v>-0.15000000000000013</v>
      </c>
      <c r="J53" s="27">
        <f>J52+1.5%</f>
        <v>-0.16999999999999998</v>
      </c>
      <c r="K53">
        <v>-0.4</v>
      </c>
      <c r="L53" s="24">
        <f t="shared" si="11"/>
        <v>2.9999999999999996</v>
      </c>
    </row>
    <row r="54" spans="3:37">
      <c r="C54" s="89"/>
      <c r="D54" s="71"/>
      <c r="E54">
        <v>1980</v>
      </c>
      <c r="F54" t="s">
        <v>159</v>
      </c>
      <c r="G54" s="10">
        <v>-0.2</v>
      </c>
      <c r="H54" s="27">
        <f>H53+5%</f>
        <v>-0.10000000000000013</v>
      </c>
      <c r="I54" s="27">
        <f t="shared" si="12"/>
        <v>-0.10000000000000013</v>
      </c>
      <c r="J54" s="28">
        <f t="shared" ref="J54:J57" si="13">J53+1.5%</f>
        <v>-0.15499999999999997</v>
      </c>
      <c r="K54">
        <v>-0.4</v>
      </c>
      <c r="L54" s="24">
        <f t="shared" si="11"/>
        <v>3.2999999999999994</v>
      </c>
    </row>
    <row r="55" spans="3:37">
      <c r="C55" s="89"/>
      <c r="D55" s="71"/>
      <c r="E55">
        <v>1990</v>
      </c>
      <c r="F55" t="s">
        <v>164</v>
      </c>
      <c r="G55" s="10">
        <v>-0.2</v>
      </c>
      <c r="H55" s="27">
        <f>H54+5%</f>
        <v>-5.0000000000000128E-2</v>
      </c>
      <c r="I55" s="27">
        <f t="shared" si="12"/>
        <v>-5.0000000000000128E-2</v>
      </c>
      <c r="J55" s="27">
        <f t="shared" si="13"/>
        <v>-0.13999999999999996</v>
      </c>
      <c r="K55">
        <v>-0.5</v>
      </c>
      <c r="L55" s="24">
        <f t="shared" si="11"/>
        <v>3.5999999999999992</v>
      </c>
    </row>
    <row r="56" spans="3:37">
      <c r="C56" s="89"/>
      <c r="D56" s="71"/>
      <c r="E56">
        <v>2005</v>
      </c>
      <c r="F56" t="s">
        <v>169</v>
      </c>
      <c r="G56" s="10">
        <v>-0.2</v>
      </c>
      <c r="H56" s="27">
        <f>H55+5%</f>
        <v>-1.2490009027033011E-16</v>
      </c>
      <c r="I56" s="27">
        <f t="shared" si="12"/>
        <v>-1.2490009027033011E-16</v>
      </c>
      <c r="J56" s="28">
        <f t="shared" si="13"/>
        <v>-0.12499999999999996</v>
      </c>
      <c r="K56">
        <v>-0.5</v>
      </c>
      <c r="L56" s="24">
        <f t="shared" si="11"/>
        <v>3.899999999999999</v>
      </c>
    </row>
    <row r="57" spans="3:37">
      <c r="C57" s="89"/>
      <c r="D57" s="71"/>
      <c r="E57">
        <v>2015</v>
      </c>
      <c r="F57" t="s">
        <v>174</v>
      </c>
      <c r="G57" s="10">
        <v>-0.2</v>
      </c>
      <c r="H57" s="27">
        <f>H56+5%</f>
        <v>4.9999999999999878E-2</v>
      </c>
      <c r="I57" s="27">
        <f t="shared" si="12"/>
        <v>4.9999999999999878E-2</v>
      </c>
      <c r="J57" s="27">
        <f t="shared" si="13"/>
        <v>-0.10999999999999996</v>
      </c>
      <c r="K57">
        <v>-0.5</v>
      </c>
      <c r="L57" s="24">
        <f t="shared" si="11"/>
        <v>4.1999999999999993</v>
      </c>
    </row>
    <row r="58" spans="3:37">
      <c r="C58" s="89"/>
    </row>
    <row r="59" spans="3:37">
      <c r="C59" s="89"/>
      <c r="D59" s="71" t="s">
        <v>887</v>
      </c>
      <c r="E59">
        <v>1939</v>
      </c>
      <c r="F59" t="s">
        <v>179</v>
      </c>
      <c r="G59" s="10">
        <v>-0.15</v>
      </c>
      <c r="H59" s="27">
        <v>-0.3</v>
      </c>
      <c r="I59" s="27">
        <v>-0.3</v>
      </c>
      <c r="J59" s="27">
        <v>-0.55000000000000004</v>
      </c>
      <c r="K59">
        <v>-0.4</v>
      </c>
      <c r="L59" s="24">
        <v>3</v>
      </c>
    </row>
    <row r="60" spans="3:37">
      <c r="C60" s="89"/>
      <c r="D60" s="71"/>
      <c r="E60">
        <v>1942</v>
      </c>
      <c r="F60" t="s">
        <v>181</v>
      </c>
      <c r="G60" s="10">
        <v>-0.2</v>
      </c>
      <c r="H60" s="27">
        <f>H59+10%</f>
        <v>-0.19999999999999998</v>
      </c>
      <c r="I60" s="27">
        <f>I59+10%</f>
        <v>-0.19999999999999998</v>
      </c>
      <c r="J60" s="27">
        <v>-0.3</v>
      </c>
      <c r="K60">
        <v>-0.5</v>
      </c>
      <c r="L60" s="24">
        <f>L59+0.4</f>
        <v>3.4</v>
      </c>
    </row>
    <row r="61" spans="3:37">
      <c r="C61" s="89"/>
      <c r="D61" s="71"/>
      <c r="E61">
        <v>1944</v>
      </c>
      <c r="F61" t="s">
        <v>183</v>
      </c>
      <c r="G61" s="10">
        <v>-0.25</v>
      </c>
      <c r="H61" s="27">
        <f>H60+10%</f>
        <v>-9.9999999999999978E-2</v>
      </c>
      <c r="I61" s="27">
        <f>I60+10%</f>
        <v>-9.9999999999999978E-2</v>
      </c>
      <c r="J61" s="27">
        <v>-0.15</v>
      </c>
      <c r="K61">
        <v>-0.5</v>
      </c>
      <c r="L61" s="24">
        <f t="shared" ref="L61:L68" si="14">L60+0.4</f>
        <v>3.8</v>
      </c>
    </row>
    <row r="62" spans="3:37">
      <c r="C62" s="89"/>
      <c r="D62" s="71"/>
      <c r="E62" s="15">
        <v>1950</v>
      </c>
      <c r="F62" s="15" t="s">
        <v>185</v>
      </c>
      <c r="G62" s="16">
        <v>-0.25</v>
      </c>
      <c r="H62" s="15">
        <v>0</v>
      </c>
      <c r="I62" s="15">
        <v>0</v>
      </c>
      <c r="J62" s="15">
        <v>0</v>
      </c>
      <c r="K62">
        <v>-0.5</v>
      </c>
      <c r="L62" s="24">
        <f t="shared" si="14"/>
        <v>4.2</v>
      </c>
      <c r="M62" s="15"/>
      <c r="O62" s="15"/>
      <c r="Q62" s="15"/>
      <c r="R62" s="15"/>
      <c r="S62" s="15"/>
      <c r="T62" s="15"/>
      <c r="U62" s="15"/>
      <c r="V62" s="15"/>
      <c r="W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K62" s="15"/>
    </row>
    <row r="63" spans="3:37">
      <c r="C63" s="89"/>
      <c r="D63" s="71"/>
      <c r="E63" s="8">
        <v>1960</v>
      </c>
      <c r="F63" s="8" t="s">
        <v>896</v>
      </c>
      <c r="G63" s="14">
        <v>-0.3</v>
      </c>
      <c r="H63" s="28">
        <v>2.5000000000000001E-2</v>
      </c>
      <c r="I63" s="28">
        <v>2.5000000000000001E-2</v>
      </c>
      <c r="J63" s="28">
        <v>0.125</v>
      </c>
      <c r="K63">
        <v>-0.6</v>
      </c>
      <c r="L63" s="24">
        <f>L62+0.4</f>
        <v>4.6000000000000005</v>
      </c>
      <c r="O63" s="57"/>
    </row>
    <row r="64" spans="3:37">
      <c r="C64" s="89"/>
      <c r="D64" s="71"/>
      <c r="E64" s="8">
        <v>1970</v>
      </c>
      <c r="F64" s="8" t="s">
        <v>900</v>
      </c>
      <c r="G64" s="14">
        <v>-0.3</v>
      </c>
      <c r="H64" s="28">
        <f t="shared" ref="H64:H68" si="15">H63+5%</f>
        <v>7.5000000000000011E-2</v>
      </c>
      <c r="I64" s="28">
        <f t="shared" ref="I64:I68" si="16">I63+5%</f>
        <v>7.5000000000000011E-2</v>
      </c>
      <c r="J64" s="27">
        <f>J63+2.5%</f>
        <v>0.15</v>
      </c>
      <c r="K64">
        <v>-0.6</v>
      </c>
      <c r="L64" s="24">
        <f t="shared" si="14"/>
        <v>5.0000000000000009</v>
      </c>
      <c r="O64" s="28"/>
    </row>
    <row r="65" spans="3:15">
      <c r="C65" s="89"/>
      <c r="D65" s="71"/>
      <c r="E65" s="8">
        <v>1980</v>
      </c>
      <c r="F65" s="8" t="s">
        <v>904</v>
      </c>
      <c r="G65" s="14">
        <v>-0.3</v>
      </c>
      <c r="H65" s="28">
        <f t="shared" si="15"/>
        <v>0.125</v>
      </c>
      <c r="I65" s="28">
        <f t="shared" si="16"/>
        <v>0.125</v>
      </c>
      <c r="J65" s="28">
        <f t="shared" ref="J65:J68" si="17">J64+2.5%</f>
        <v>0.17499999999999999</v>
      </c>
      <c r="K65">
        <v>-0.6</v>
      </c>
      <c r="L65" s="24">
        <f t="shared" si="14"/>
        <v>5.4000000000000012</v>
      </c>
      <c r="O65" s="28"/>
    </row>
    <row r="66" spans="3:15">
      <c r="C66" s="89"/>
      <c r="D66" s="71"/>
      <c r="E66" s="8">
        <v>1990</v>
      </c>
      <c r="F66" s="9" t="s">
        <v>908</v>
      </c>
      <c r="G66" s="14">
        <v>-0.3</v>
      </c>
      <c r="H66" s="28">
        <f t="shared" si="15"/>
        <v>0.17499999999999999</v>
      </c>
      <c r="I66" s="28">
        <f t="shared" si="16"/>
        <v>0.17499999999999999</v>
      </c>
      <c r="J66" s="27">
        <f t="shared" si="17"/>
        <v>0.19999999999999998</v>
      </c>
      <c r="K66">
        <v>-0.7</v>
      </c>
      <c r="L66" s="24">
        <f t="shared" si="14"/>
        <v>5.8000000000000016</v>
      </c>
      <c r="O66" s="28"/>
    </row>
    <row r="67" spans="3:15">
      <c r="C67" s="89"/>
      <c r="D67" s="71"/>
      <c r="E67" s="8">
        <v>2005</v>
      </c>
      <c r="F67" s="9" t="s">
        <v>912</v>
      </c>
      <c r="G67" s="14">
        <v>-0.3</v>
      </c>
      <c r="H67" s="28">
        <f t="shared" si="15"/>
        <v>0.22499999999999998</v>
      </c>
      <c r="I67" s="28">
        <f t="shared" si="16"/>
        <v>0.22499999999999998</v>
      </c>
      <c r="J67" s="28">
        <f t="shared" si="17"/>
        <v>0.22499999999999998</v>
      </c>
      <c r="K67">
        <v>-0.7</v>
      </c>
      <c r="L67" s="24">
        <f t="shared" si="14"/>
        <v>6.200000000000002</v>
      </c>
      <c r="O67" s="28"/>
    </row>
    <row r="68" spans="3:15">
      <c r="C68" s="89"/>
      <c r="D68" s="71"/>
      <c r="E68" s="8">
        <v>2015</v>
      </c>
      <c r="F68" s="9" t="s">
        <v>916</v>
      </c>
      <c r="G68" s="14">
        <v>-0.3</v>
      </c>
      <c r="H68" s="28">
        <f t="shared" si="15"/>
        <v>0.27499999999999997</v>
      </c>
      <c r="I68" s="28">
        <f t="shared" si="16"/>
        <v>0.27499999999999997</v>
      </c>
      <c r="J68" s="27">
        <f t="shared" si="17"/>
        <v>0.24999999999999997</v>
      </c>
      <c r="K68">
        <v>-0.7</v>
      </c>
      <c r="L68" s="24">
        <f t="shared" si="14"/>
        <v>6.6000000000000023</v>
      </c>
      <c r="O68" s="28"/>
    </row>
    <row r="69" spans="3:15">
      <c r="C69" s="89"/>
      <c r="D69" s="71"/>
      <c r="E69">
        <v>1960</v>
      </c>
      <c r="F69" t="s">
        <v>920</v>
      </c>
      <c r="G69" s="10">
        <v>-0.3</v>
      </c>
      <c r="H69" s="28">
        <f>H62+7.5%</f>
        <v>7.4999999999999997E-2</v>
      </c>
      <c r="I69" s="28">
        <f>I62+7.5%</f>
        <v>7.4999999999999997E-2</v>
      </c>
      <c r="J69" s="28">
        <v>2.5000000000000001E-2</v>
      </c>
      <c r="K69">
        <v>-0.6</v>
      </c>
      <c r="L69" s="24">
        <f>L62+0.8</f>
        <v>5</v>
      </c>
      <c r="O69" s="28"/>
    </row>
    <row r="70" spans="3:15">
      <c r="C70" s="89"/>
      <c r="D70" s="71"/>
      <c r="E70">
        <v>1970</v>
      </c>
      <c r="F70" t="s">
        <v>923</v>
      </c>
      <c r="G70" s="10">
        <v>-0.3</v>
      </c>
      <c r="H70" s="28">
        <f>H69+5%</f>
        <v>0.125</v>
      </c>
      <c r="I70" s="28">
        <f t="shared" ref="I70:I74" si="18">I69+5%</f>
        <v>0.125</v>
      </c>
      <c r="J70" s="27">
        <f>J69+2.5%</f>
        <v>0.05</v>
      </c>
      <c r="K70">
        <v>-0.6</v>
      </c>
      <c r="L70" s="24">
        <f>L69+0.4</f>
        <v>5.4</v>
      </c>
      <c r="O70" s="28"/>
    </row>
    <row r="71" spans="3:15">
      <c r="C71" s="89"/>
      <c r="D71" s="71"/>
      <c r="E71">
        <v>1980</v>
      </c>
      <c r="F71" t="s">
        <v>926</v>
      </c>
      <c r="G71" s="10">
        <v>-0.3</v>
      </c>
      <c r="H71" s="28">
        <f>H70+5%</f>
        <v>0.17499999999999999</v>
      </c>
      <c r="I71" s="28">
        <f t="shared" si="18"/>
        <v>0.17499999999999999</v>
      </c>
      <c r="J71" s="28">
        <f t="shared" ref="J71:J74" si="19">J70+2.5%</f>
        <v>7.5000000000000011E-2</v>
      </c>
      <c r="K71">
        <v>-0.6</v>
      </c>
      <c r="L71" s="24">
        <f t="shared" ref="L71:L74" si="20">L70+0.4</f>
        <v>5.8000000000000007</v>
      </c>
      <c r="O71" s="28"/>
    </row>
    <row r="72" spans="3:15">
      <c r="C72" s="89"/>
      <c r="D72" s="71"/>
      <c r="E72">
        <v>1990</v>
      </c>
      <c r="F72" t="s">
        <v>929</v>
      </c>
      <c r="G72" s="10">
        <v>-0.3</v>
      </c>
      <c r="H72" s="28">
        <f>H71+5%</f>
        <v>0.22499999999999998</v>
      </c>
      <c r="I72" s="28">
        <f t="shared" si="18"/>
        <v>0.22499999999999998</v>
      </c>
      <c r="J72" s="27">
        <f t="shared" si="19"/>
        <v>0.1</v>
      </c>
      <c r="K72">
        <v>-0.7</v>
      </c>
      <c r="L72" s="24">
        <f t="shared" si="20"/>
        <v>6.2000000000000011</v>
      </c>
      <c r="O72" s="28"/>
    </row>
    <row r="73" spans="3:15">
      <c r="C73" s="89"/>
      <c r="D73" s="71"/>
      <c r="E73">
        <v>2005</v>
      </c>
      <c r="F73" t="s">
        <v>932</v>
      </c>
      <c r="G73" s="10">
        <v>-0.3</v>
      </c>
      <c r="H73" s="28">
        <f>H72+5%</f>
        <v>0.27499999999999997</v>
      </c>
      <c r="I73" s="28">
        <f t="shared" si="18"/>
        <v>0.27499999999999997</v>
      </c>
      <c r="J73" s="28">
        <f t="shared" si="19"/>
        <v>0.125</v>
      </c>
      <c r="K73">
        <v>-0.7</v>
      </c>
      <c r="L73" s="24">
        <f t="shared" si="20"/>
        <v>6.6000000000000014</v>
      </c>
      <c r="O73" s="28"/>
    </row>
    <row r="74" spans="3:15">
      <c r="C74" s="89"/>
      <c r="D74" s="71"/>
      <c r="E74">
        <v>2015</v>
      </c>
      <c r="F74" t="s">
        <v>935</v>
      </c>
      <c r="G74" s="10">
        <v>-0.3</v>
      </c>
      <c r="H74" s="28">
        <f>H73+5%</f>
        <v>0.32499999999999996</v>
      </c>
      <c r="I74" s="28">
        <f t="shared" si="18"/>
        <v>0.32499999999999996</v>
      </c>
      <c r="J74" s="27">
        <f t="shared" si="19"/>
        <v>0.15</v>
      </c>
      <c r="K74">
        <v>-0.7</v>
      </c>
      <c r="L74" s="24">
        <f t="shared" si="20"/>
        <v>7.0000000000000018</v>
      </c>
      <c r="O74" s="28"/>
    </row>
    <row r="75" spans="3:15">
      <c r="C75" s="89"/>
      <c r="L75" s="52"/>
    </row>
    <row r="76" spans="3:15">
      <c r="C76" s="89"/>
      <c r="D76" s="71" t="s">
        <v>938</v>
      </c>
      <c r="E76">
        <v>1942</v>
      </c>
      <c r="F76" t="s">
        <v>217</v>
      </c>
      <c r="G76" s="10">
        <v>-0.3</v>
      </c>
      <c r="H76">
        <v>0</v>
      </c>
      <c r="I76">
        <v>0</v>
      </c>
      <c r="J76" s="27">
        <v>-0.05</v>
      </c>
      <c r="K76">
        <v>-0.6</v>
      </c>
      <c r="L76" s="24">
        <v>6</v>
      </c>
    </row>
    <row r="77" spans="3:15">
      <c r="C77" s="89"/>
      <c r="D77" s="71"/>
      <c r="E77">
        <v>1944</v>
      </c>
      <c r="F77" t="s">
        <v>218</v>
      </c>
      <c r="G77" s="10">
        <v>-0.3</v>
      </c>
      <c r="H77" s="27">
        <f t="shared" ref="H77:H79" si="21">H76+5%</f>
        <v>0.05</v>
      </c>
      <c r="I77" s="27">
        <f t="shared" ref="I77:I79" si="22">I76+5%</f>
        <v>0.05</v>
      </c>
      <c r="J77">
        <v>0</v>
      </c>
      <c r="K77">
        <v>-0.6</v>
      </c>
      <c r="L77" s="24">
        <f>L76+0.5</f>
        <v>6.5</v>
      </c>
    </row>
    <row r="78" spans="3:15">
      <c r="C78" s="89"/>
      <c r="D78" s="71"/>
      <c r="E78">
        <v>1950</v>
      </c>
      <c r="F78" t="s">
        <v>219</v>
      </c>
      <c r="G78" s="10">
        <v>-0.3</v>
      </c>
      <c r="H78" s="27">
        <f t="shared" si="21"/>
        <v>0.1</v>
      </c>
      <c r="I78" s="27">
        <f t="shared" si="22"/>
        <v>0.1</v>
      </c>
      <c r="J78" s="27">
        <v>0.15</v>
      </c>
      <c r="K78">
        <v>-0.7</v>
      </c>
      <c r="L78" s="24">
        <f t="shared" ref="L78:L79" si="23">L77+0.5</f>
        <v>7</v>
      </c>
    </row>
    <row r="79" spans="3:15">
      <c r="C79" s="89"/>
      <c r="D79" s="71"/>
      <c r="E79">
        <v>1955</v>
      </c>
      <c r="F79" t="s">
        <v>220</v>
      </c>
      <c r="G79" s="10">
        <v>-0.35</v>
      </c>
      <c r="H79" s="27">
        <f t="shared" si="21"/>
        <v>0.15000000000000002</v>
      </c>
      <c r="I79" s="27">
        <f t="shared" si="22"/>
        <v>0.15000000000000002</v>
      </c>
      <c r="J79" s="27">
        <v>0.2</v>
      </c>
      <c r="K79">
        <v>-0.7</v>
      </c>
      <c r="L79" s="24">
        <f t="shared" si="23"/>
        <v>7.5</v>
      </c>
    </row>
    <row r="80" spans="3:15">
      <c r="C80" s="89"/>
      <c r="D80" s="66"/>
    </row>
    <row r="81" spans="3:15">
      <c r="C81" s="89"/>
      <c r="D81" s="66" t="s">
        <v>947</v>
      </c>
      <c r="E81">
        <v>1955</v>
      </c>
      <c r="F81" t="s">
        <v>223</v>
      </c>
      <c r="G81" s="10">
        <v>-0.4</v>
      </c>
      <c r="H81" s="27">
        <v>0.25</v>
      </c>
      <c r="I81" s="27">
        <v>0.25</v>
      </c>
      <c r="J81" s="27">
        <v>0.35</v>
      </c>
      <c r="K81">
        <v>-1.2</v>
      </c>
      <c r="L81" s="24">
        <v>8</v>
      </c>
    </row>
    <row r="82" spans="3:15">
      <c r="C82" s="89"/>
      <c r="D82" s="66"/>
    </row>
    <row r="83" spans="3:15">
      <c r="C83" s="89"/>
      <c r="D83" s="66" t="s">
        <v>225</v>
      </c>
      <c r="E83">
        <v>1960</v>
      </c>
      <c r="F83" t="s">
        <v>225</v>
      </c>
      <c r="G83" s="27">
        <v>-0.3</v>
      </c>
      <c r="H83" s="28">
        <v>0.125</v>
      </c>
      <c r="I83" s="28">
        <v>0.125</v>
      </c>
      <c r="J83" s="27">
        <v>0.2</v>
      </c>
      <c r="K83">
        <v>-0.6</v>
      </c>
      <c r="L83" s="24">
        <v>5.2</v>
      </c>
    </row>
    <row r="84" spans="3:15">
      <c r="C84" s="89"/>
      <c r="D84" s="66"/>
    </row>
    <row r="85" spans="3:15">
      <c r="C85" s="89"/>
      <c r="D85" s="71" t="s">
        <v>951</v>
      </c>
      <c r="E85">
        <v>1990</v>
      </c>
      <c r="F85" t="s">
        <v>228</v>
      </c>
      <c r="G85" s="27">
        <v>-0.4</v>
      </c>
      <c r="H85" s="27">
        <v>0.25</v>
      </c>
      <c r="I85" s="27">
        <v>0.25</v>
      </c>
      <c r="J85" s="27">
        <v>0.4</v>
      </c>
      <c r="K85">
        <v>-0.8</v>
      </c>
      <c r="L85" s="24">
        <v>7.5</v>
      </c>
      <c r="O85" s="27"/>
    </row>
    <row r="86" spans="3:15">
      <c r="C86" s="89"/>
      <c r="D86" s="71"/>
      <c r="E86">
        <v>2000</v>
      </c>
      <c r="F86" t="s">
        <v>229</v>
      </c>
      <c r="G86" s="27">
        <v>-0.35</v>
      </c>
      <c r="H86" s="27">
        <f>H85+5%</f>
        <v>0.3</v>
      </c>
      <c r="I86" s="27">
        <f>I85+5%</f>
        <v>0.3</v>
      </c>
      <c r="J86" s="27">
        <v>0.45</v>
      </c>
      <c r="K86">
        <v>-0.8</v>
      </c>
      <c r="L86" s="24">
        <f>L85+0.6</f>
        <v>8.1</v>
      </c>
      <c r="O86" s="27"/>
    </row>
    <row r="87" spans="3:15">
      <c r="C87" s="89"/>
      <c r="D87" s="71"/>
      <c r="E87">
        <v>2010</v>
      </c>
      <c r="F87" t="s">
        <v>230</v>
      </c>
      <c r="G87" s="27">
        <v>-0.35</v>
      </c>
      <c r="H87" s="27">
        <f>H86+5%</f>
        <v>0.35</v>
      </c>
      <c r="I87" s="27">
        <f>I86+5%</f>
        <v>0.35</v>
      </c>
      <c r="J87" s="27">
        <v>0.5</v>
      </c>
      <c r="K87">
        <v>-0.8</v>
      </c>
      <c r="L87" s="24">
        <f>L86+0.6</f>
        <v>8.6999999999999993</v>
      </c>
      <c r="O87" s="27"/>
    </row>
    <row r="88" spans="3:15">
      <c r="C88" s="89"/>
    </row>
    <row r="89" spans="3:15">
      <c r="C89" s="89"/>
      <c r="D89" s="71" t="s">
        <v>231</v>
      </c>
      <c r="E89">
        <v>1950</v>
      </c>
      <c r="F89" t="s">
        <v>232</v>
      </c>
      <c r="G89" s="27">
        <v>-0.1</v>
      </c>
      <c r="H89" s="27">
        <v>-0.35</v>
      </c>
      <c r="I89" s="27">
        <v>-0.35</v>
      </c>
      <c r="J89" s="27">
        <v>-0.2</v>
      </c>
      <c r="K89">
        <v>-0.2</v>
      </c>
      <c r="L89" s="24">
        <v>2</v>
      </c>
    </row>
    <row r="90" spans="3:15">
      <c r="C90" s="89"/>
      <c r="D90" s="71"/>
      <c r="E90">
        <v>1960</v>
      </c>
      <c r="F90" s="7" t="s">
        <v>234</v>
      </c>
      <c r="G90" s="27">
        <v>-0.1</v>
      </c>
      <c r="H90" s="27">
        <f>H89+5%</f>
        <v>-0.3</v>
      </c>
      <c r="I90" s="27">
        <f t="shared" ref="I90:I92" si="24">I89+5%</f>
        <v>-0.3</v>
      </c>
      <c r="J90" s="28">
        <v>-0.185</v>
      </c>
      <c r="K90">
        <v>-0.2</v>
      </c>
      <c r="L90" s="24">
        <f>L89+0.3</f>
        <v>2.2999999999999998</v>
      </c>
    </row>
    <row r="91" spans="3:15">
      <c r="C91" s="89"/>
      <c r="D91" s="71"/>
      <c r="E91">
        <v>1970</v>
      </c>
      <c r="F91" s="7" t="s">
        <v>235</v>
      </c>
      <c r="G91" s="27">
        <v>-0.1</v>
      </c>
      <c r="H91" s="27">
        <f t="shared" ref="H91:H92" si="25">H90+5%</f>
        <v>-0.25</v>
      </c>
      <c r="I91" s="27">
        <f t="shared" si="24"/>
        <v>-0.25</v>
      </c>
      <c r="J91" s="27">
        <v>-0.17</v>
      </c>
      <c r="K91">
        <v>-0.2</v>
      </c>
      <c r="L91" s="24">
        <f t="shared" ref="L91:L92" si="26">L90+0.3</f>
        <v>2.5999999999999996</v>
      </c>
    </row>
    <row r="92" spans="3:15">
      <c r="C92" s="89"/>
      <c r="D92" s="71"/>
      <c r="E92">
        <v>1990</v>
      </c>
      <c r="F92" t="s">
        <v>236</v>
      </c>
      <c r="G92" s="27">
        <v>-0.1</v>
      </c>
      <c r="H92" s="27">
        <f t="shared" si="25"/>
        <v>-0.2</v>
      </c>
      <c r="I92" s="27">
        <f t="shared" si="24"/>
        <v>-0.2</v>
      </c>
      <c r="J92" s="27">
        <v>-0.14000000000000001</v>
      </c>
      <c r="K92">
        <v>-0.3</v>
      </c>
      <c r="L92" s="24">
        <f t="shared" si="26"/>
        <v>2.8999999999999995</v>
      </c>
    </row>
    <row r="96" spans="3:15">
      <c r="C96" s="68"/>
      <c r="D96" s="68"/>
      <c r="E96" s="68"/>
      <c r="F96" s="68"/>
      <c r="G96" s="46" t="s">
        <v>124</v>
      </c>
      <c r="H96" s="46" t="s">
        <v>125</v>
      </c>
      <c r="I96" s="46" t="s">
        <v>126</v>
      </c>
      <c r="J96" s="47" t="s">
        <v>9</v>
      </c>
      <c r="K96" s="67"/>
    </row>
    <row r="97" spans="3:10">
      <c r="C97" s="85" t="s">
        <v>966</v>
      </c>
      <c r="D97" s="85" t="s">
        <v>967</v>
      </c>
      <c r="E97">
        <v>1939</v>
      </c>
      <c r="F97" t="s">
        <v>968</v>
      </c>
      <c r="G97">
        <v>20</v>
      </c>
      <c r="I97" s="15">
        <v>150</v>
      </c>
      <c r="J97">
        <v>0.25</v>
      </c>
    </row>
    <row r="98" spans="3:10">
      <c r="C98" s="91"/>
      <c r="D98" s="91"/>
      <c r="E98">
        <v>1942</v>
      </c>
      <c r="F98" t="s">
        <v>971</v>
      </c>
      <c r="G98">
        <f>G97+10</f>
        <v>30</v>
      </c>
      <c r="I98">
        <f>I97+50</f>
        <v>200</v>
      </c>
      <c r="J98">
        <f>J97+0.25</f>
        <v>0.5</v>
      </c>
    </row>
    <row r="99" spans="3:10">
      <c r="C99" s="91"/>
      <c r="D99" s="91"/>
      <c r="E99">
        <v>1950</v>
      </c>
      <c r="F99" t="s">
        <v>974</v>
      </c>
      <c r="G99">
        <f t="shared" ref="G99:G105" si="27">G98+10</f>
        <v>40</v>
      </c>
      <c r="I99">
        <f>I98+50</f>
        <v>250</v>
      </c>
      <c r="J99">
        <f t="shared" ref="J99:J105" si="28">J98+0.25</f>
        <v>0.75</v>
      </c>
    </row>
    <row r="100" spans="3:10">
      <c r="C100" s="91"/>
      <c r="D100" s="91"/>
      <c r="E100">
        <v>1960</v>
      </c>
      <c r="F100" t="s">
        <v>977</v>
      </c>
      <c r="G100">
        <f t="shared" si="27"/>
        <v>50</v>
      </c>
      <c r="I100">
        <f>I99+50</f>
        <v>300</v>
      </c>
      <c r="J100">
        <f t="shared" si="28"/>
        <v>1</v>
      </c>
    </row>
    <row r="101" spans="3:10">
      <c r="C101" s="91"/>
      <c r="D101" s="91"/>
      <c r="E101">
        <v>1970</v>
      </c>
      <c r="F101" t="s">
        <v>980</v>
      </c>
      <c r="G101">
        <f t="shared" si="27"/>
        <v>60</v>
      </c>
      <c r="I101">
        <f>I100+75</f>
        <v>375</v>
      </c>
      <c r="J101">
        <f t="shared" si="28"/>
        <v>1.25</v>
      </c>
    </row>
    <row r="102" spans="3:10">
      <c r="C102" s="91"/>
      <c r="D102" s="91"/>
      <c r="E102">
        <v>1980</v>
      </c>
      <c r="F102" t="s">
        <v>983</v>
      </c>
      <c r="G102">
        <f t="shared" si="27"/>
        <v>70</v>
      </c>
      <c r="I102">
        <f>I101+75</f>
        <v>450</v>
      </c>
      <c r="J102">
        <f t="shared" si="28"/>
        <v>1.5</v>
      </c>
    </row>
    <row r="103" spans="3:10">
      <c r="C103" s="91"/>
      <c r="D103" s="91"/>
      <c r="E103">
        <v>1990</v>
      </c>
      <c r="F103" t="s">
        <v>986</v>
      </c>
      <c r="G103">
        <f t="shared" si="27"/>
        <v>80</v>
      </c>
      <c r="I103">
        <f>I102+100</f>
        <v>550</v>
      </c>
      <c r="J103">
        <f t="shared" si="28"/>
        <v>1.75</v>
      </c>
    </row>
    <row r="104" spans="3:10">
      <c r="C104" s="91"/>
      <c r="D104" s="91"/>
      <c r="E104">
        <v>2000</v>
      </c>
      <c r="F104" t="s">
        <v>989</v>
      </c>
      <c r="G104">
        <f t="shared" si="27"/>
        <v>90</v>
      </c>
      <c r="I104">
        <f t="shared" ref="I104" si="29">I103+100</f>
        <v>650</v>
      </c>
      <c r="J104">
        <f t="shared" si="28"/>
        <v>2</v>
      </c>
    </row>
    <row r="105" spans="3:10">
      <c r="C105" s="91"/>
      <c r="D105" s="91"/>
      <c r="E105">
        <v>2015</v>
      </c>
      <c r="F105" t="s">
        <v>992</v>
      </c>
      <c r="G105">
        <f t="shared" si="27"/>
        <v>100</v>
      </c>
      <c r="I105">
        <f>I104+125</f>
        <v>775</v>
      </c>
      <c r="J105">
        <f t="shared" si="28"/>
        <v>2.25</v>
      </c>
    </row>
    <row r="106" spans="3:10">
      <c r="C106" s="91"/>
    </row>
    <row r="107" spans="3:10">
      <c r="C107" s="91"/>
      <c r="D107" s="71" t="s">
        <v>995</v>
      </c>
      <c r="E107">
        <v>1980</v>
      </c>
      <c r="F107" t="s">
        <v>996</v>
      </c>
      <c r="G107">
        <f>G102+8</f>
        <v>78</v>
      </c>
      <c r="I107">
        <v>500</v>
      </c>
      <c r="J107">
        <f>J102+0.3</f>
        <v>1.8</v>
      </c>
    </row>
    <row r="108" spans="3:10">
      <c r="C108" s="91"/>
      <c r="D108" s="71"/>
      <c r="E108">
        <v>1990</v>
      </c>
      <c r="F108" t="s">
        <v>999</v>
      </c>
      <c r="G108">
        <f t="shared" ref="G108:G110" si="30">G103+8</f>
        <v>88</v>
      </c>
      <c r="I108">
        <f>I107+100</f>
        <v>600</v>
      </c>
      <c r="J108">
        <f t="shared" ref="J108:J110" si="31">J103+0.3</f>
        <v>2.0499999999999998</v>
      </c>
    </row>
    <row r="109" spans="3:10">
      <c r="C109" s="91"/>
      <c r="D109" s="71"/>
      <c r="E109">
        <v>2000</v>
      </c>
      <c r="F109" t="s">
        <v>1002</v>
      </c>
      <c r="G109">
        <f t="shared" si="30"/>
        <v>98</v>
      </c>
      <c r="I109">
        <f t="shared" ref="I109" si="32">I108+100</f>
        <v>700</v>
      </c>
      <c r="J109">
        <f t="shared" si="31"/>
        <v>2.2999999999999998</v>
      </c>
    </row>
    <row r="110" spans="3:10">
      <c r="C110" s="91"/>
      <c r="D110" s="71"/>
      <c r="E110">
        <v>2015</v>
      </c>
      <c r="F110" t="s">
        <v>1005</v>
      </c>
      <c r="G110">
        <f t="shared" si="30"/>
        <v>108</v>
      </c>
      <c r="I110">
        <f>I109+125</f>
        <v>825</v>
      </c>
      <c r="J110">
        <f t="shared" si="31"/>
        <v>2.5499999999999998</v>
      </c>
    </row>
    <row r="111" spans="3:10">
      <c r="C111" s="91"/>
      <c r="D111" s="66"/>
    </row>
    <row r="112" spans="3:10">
      <c r="C112" s="91"/>
      <c r="D112" s="71" t="s">
        <v>1008</v>
      </c>
      <c r="E112">
        <v>1942</v>
      </c>
      <c r="F112" t="s">
        <v>1009</v>
      </c>
      <c r="G112">
        <v>25</v>
      </c>
      <c r="H112">
        <v>5</v>
      </c>
      <c r="I112" s="51">
        <v>200</v>
      </c>
      <c r="J112">
        <f>J97*3</f>
        <v>0.75</v>
      </c>
    </row>
    <row r="113" spans="3:10">
      <c r="C113" s="91"/>
      <c r="D113" s="71"/>
      <c r="E113">
        <v>1950</v>
      </c>
      <c r="F113" t="s">
        <v>1013</v>
      </c>
      <c r="G113">
        <f>G112+10</f>
        <v>35</v>
      </c>
      <c r="H113">
        <f>H112+2.5</f>
        <v>7.5</v>
      </c>
      <c r="I113" s="52">
        <v>300</v>
      </c>
      <c r="J113">
        <f>J112+0.25</f>
        <v>1</v>
      </c>
    </row>
    <row r="114" spans="3:10">
      <c r="C114" s="91"/>
      <c r="D114" s="71"/>
      <c r="E114">
        <v>1960</v>
      </c>
      <c r="F114" t="s">
        <v>1016</v>
      </c>
      <c r="G114">
        <f t="shared" ref="G114:G118" si="33">G113+10</f>
        <v>45</v>
      </c>
      <c r="H114">
        <f t="shared" ref="H114:H118" si="34">H113+2.5</f>
        <v>10</v>
      </c>
      <c r="I114" s="52">
        <v>400</v>
      </c>
      <c r="J114">
        <f t="shared" ref="J114:J118" si="35">J113+0.25</f>
        <v>1.25</v>
      </c>
    </row>
    <row r="115" spans="3:10">
      <c r="C115" s="91"/>
      <c r="D115" s="71"/>
      <c r="E115">
        <v>1970</v>
      </c>
      <c r="F115" t="s">
        <v>1019</v>
      </c>
      <c r="G115">
        <f t="shared" si="33"/>
        <v>55</v>
      </c>
      <c r="H115">
        <f t="shared" si="34"/>
        <v>12.5</v>
      </c>
      <c r="I115" s="52">
        <v>415</v>
      </c>
      <c r="J115">
        <f t="shared" si="35"/>
        <v>1.5</v>
      </c>
    </row>
    <row r="116" spans="3:10">
      <c r="C116" s="91"/>
      <c r="D116" s="71"/>
      <c r="E116">
        <v>1980</v>
      </c>
      <c r="F116" t="s">
        <v>1022</v>
      </c>
      <c r="G116">
        <f t="shared" si="33"/>
        <v>65</v>
      </c>
      <c r="H116">
        <f t="shared" si="34"/>
        <v>15</v>
      </c>
      <c r="I116" s="52">
        <v>430</v>
      </c>
      <c r="J116">
        <f t="shared" si="35"/>
        <v>1.75</v>
      </c>
    </row>
    <row r="117" spans="3:10">
      <c r="C117" s="91"/>
      <c r="D117" s="71"/>
      <c r="E117">
        <v>1990</v>
      </c>
      <c r="F117" t="s">
        <v>1025</v>
      </c>
      <c r="G117">
        <f>G116+10</f>
        <v>75</v>
      </c>
      <c r="H117">
        <f t="shared" si="34"/>
        <v>17.5</v>
      </c>
      <c r="I117" s="52">
        <v>445</v>
      </c>
      <c r="J117">
        <f t="shared" si="35"/>
        <v>2</v>
      </c>
    </row>
    <row r="118" spans="3:10">
      <c r="C118" s="91"/>
      <c r="D118" s="71"/>
      <c r="E118">
        <v>2000</v>
      </c>
      <c r="F118" t="s">
        <v>1028</v>
      </c>
      <c r="G118">
        <f t="shared" si="33"/>
        <v>85</v>
      </c>
      <c r="H118">
        <f t="shared" si="34"/>
        <v>20</v>
      </c>
      <c r="I118" s="52">
        <v>460</v>
      </c>
      <c r="J118">
        <f t="shared" si="35"/>
        <v>2.25</v>
      </c>
    </row>
    <row r="119" spans="3:10">
      <c r="C119" s="91"/>
      <c r="D119" s="66"/>
    </row>
    <row r="120" spans="3:10">
      <c r="C120" s="91"/>
      <c r="D120" s="71" t="s">
        <v>1031</v>
      </c>
      <c r="E120">
        <v>1985</v>
      </c>
      <c r="F120" t="s">
        <v>1032</v>
      </c>
      <c r="G120">
        <f>G116+2</f>
        <v>67</v>
      </c>
      <c r="H120">
        <v>12.5</v>
      </c>
      <c r="I120">
        <v>475</v>
      </c>
      <c r="J120">
        <f>J116+0.35</f>
        <v>2.1</v>
      </c>
    </row>
    <row r="121" spans="3:10">
      <c r="C121" s="91"/>
      <c r="D121" s="71"/>
      <c r="E121">
        <v>1995</v>
      </c>
      <c r="F121" t="s">
        <v>1035</v>
      </c>
      <c r="G121">
        <f t="shared" ref="G121:G122" si="36">G117+2</f>
        <v>77</v>
      </c>
      <c r="H121">
        <f>H120+2.5</f>
        <v>15</v>
      </c>
      <c r="I121">
        <v>490</v>
      </c>
      <c r="J121">
        <f>J120+0.25</f>
        <v>2.35</v>
      </c>
    </row>
    <row r="122" spans="3:10">
      <c r="C122" s="91"/>
      <c r="D122" s="71"/>
      <c r="E122">
        <v>2005</v>
      </c>
      <c r="F122" t="s">
        <v>1038</v>
      </c>
      <c r="G122">
        <f t="shared" si="36"/>
        <v>87</v>
      </c>
      <c r="H122">
        <f t="shared" ref="H122" si="37">H121+2.5</f>
        <v>17.5</v>
      </c>
      <c r="I122">
        <v>505</v>
      </c>
      <c r="J122">
        <f>J121+0.25</f>
        <v>2.6</v>
      </c>
    </row>
    <row r="123" spans="3:10">
      <c r="C123" s="91"/>
      <c r="D123" s="66"/>
    </row>
    <row r="124" spans="3:10">
      <c r="C124" s="91"/>
      <c r="D124" s="71" t="s">
        <v>1041</v>
      </c>
      <c r="E124">
        <v>1985</v>
      </c>
      <c r="F124" t="s">
        <v>1042</v>
      </c>
      <c r="G124">
        <f>G116-7.5</f>
        <v>57.5</v>
      </c>
      <c r="H124">
        <f>H116+7.5</f>
        <v>22.5</v>
      </c>
      <c r="I124">
        <v>400</v>
      </c>
      <c r="J124">
        <f>J116+0.35</f>
        <v>2.1</v>
      </c>
    </row>
    <row r="125" spans="3:10">
      <c r="C125" s="91"/>
      <c r="D125" s="71"/>
      <c r="E125">
        <v>1995</v>
      </c>
      <c r="F125" t="s">
        <v>1045</v>
      </c>
      <c r="G125">
        <f>G124+5</f>
        <v>62.5</v>
      </c>
      <c r="H125">
        <f>H124+2.5</f>
        <v>25</v>
      </c>
      <c r="I125">
        <v>410</v>
      </c>
      <c r="J125">
        <f>J124+0.25</f>
        <v>2.35</v>
      </c>
    </row>
    <row r="126" spans="3:10">
      <c r="C126" s="91"/>
      <c r="D126" s="71"/>
      <c r="E126">
        <v>2005</v>
      </c>
      <c r="F126" t="s">
        <v>1048</v>
      </c>
      <c r="G126">
        <f>G125+5</f>
        <v>67.5</v>
      </c>
      <c r="H126">
        <f>H125+2.5</f>
        <v>27.5</v>
      </c>
      <c r="I126">
        <v>420</v>
      </c>
      <c r="J126">
        <f>J125+0.25</f>
        <v>2.6</v>
      </c>
    </row>
    <row r="127" spans="3:10">
      <c r="C127" s="91"/>
      <c r="D127" s="66"/>
    </row>
    <row r="128" spans="3:10">
      <c r="C128" s="91"/>
      <c r="D128" s="66" t="s">
        <v>1051</v>
      </c>
      <c r="E128">
        <v>1955</v>
      </c>
      <c r="F128" t="s">
        <v>1052</v>
      </c>
      <c r="G128">
        <v>35</v>
      </c>
      <c r="H128">
        <v>12.5</v>
      </c>
      <c r="I128">
        <v>120</v>
      </c>
      <c r="J128">
        <f>J131</f>
        <v>0.4</v>
      </c>
    </row>
    <row r="129" spans="3:11">
      <c r="C129" s="91"/>
      <c r="D129" s="66"/>
    </row>
    <row r="130" spans="3:11">
      <c r="C130" s="91"/>
      <c r="D130" s="71" t="s">
        <v>1072</v>
      </c>
      <c r="E130">
        <v>1939</v>
      </c>
      <c r="F130" t="s">
        <v>1073</v>
      </c>
      <c r="G130">
        <v>2.5</v>
      </c>
      <c r="H130">
        <v>10</v>
      </c>
      <c r="I130" s="58">
        <v>20</v>
      </c>
      <c r="J130">
        <v>0.1</v>
      </c>
    </row>
    <row r="131" spans="3:11">
      <c r="C131" s="91"/>
      <c r="D131" s="71"/>
      <c r="E131">
        <v>1955</v>
      </c>
      <c r="F131" t="s">
        <v>1076</v>
      </c>
      <c r="G131">
        <f>G130+2.5</f>
        <v>5</v>
      </c>
      <c r="H131">
        <f>H130+5</f>
        <v>15</v>
      </c>
      <c r="I131" s="58">
        <v>25</v>
      </c>
      <c r="J131">
        <f>J130+0.3</f>
        <v>0.4</v>
      </c>
    </row>
    <row r="132" spans="3:11">
      <c r="C132" s="91"/>
      <c r="D132" s="71"/>
      <c r="E132">
        <v>1970</v>
      </c>
      <c r="F132" t="s">
        <v>1079</v>
      </c>
      <c r="G132">
        <f t="shared" ref="G132:G134" si="38">G131+2.5</f>
        <v>7.5</v>
      </c>
      <c r="H132">
        <f t="shared" ref="H132:H134" si="39">H131+5</f>
        <v>20</v>
      </c>
      <c r="I132" s="58">
        <v>30</v>
      </c>
      <c r="J132">
        <f t="shared" ref="J132:J134" si="40">J131+0.3</f>
        <v>0.7</v>
      </c>
    </row>
    <row r="133" spans="3:11">
      <c r="C133" s="91"/>
      <c r="D133" s="71"/>
      <c r="E133">
        <v>1985</v>
      </c>
      <c r="F133" t="s">
        <v>1082</v>
      </c>
      <c r="G133">
        <f t="shared" si="38"/>
        <v>10</v>
      </c>
      <c r="H133">
        <f t="shared" si="39"/>
        <v>25</v>
      </c>
      <c r="I133" s="58">
        <v>35</v>
      </c>
      <c r="J133">
        <f t="shared" si="40"/>
        <v>1</v>
      </c>
    </row>
    <row r="134" spans="3:11">
      <c r="C134" s="91"/>
      <c r="D134" s="71"/>
      <c r="E134">
        <v>2015</v>
      </c>
      <c r="F134" t="s">
        <v>1085</v>
      </c>
      <c r="G134">
        <f t="shared" si="38"/>
        <v>12.5</v>
      </c>
      <c r="H134">
        <f t="shared" si="39"/>
        <v>30</v>
      </c>
      <c r="I134" s="58">
        <v>40</v>
      </c>
      <c r="J134">
        <f t="shared" si="40"/>
        <v>1.3</v>
      </c>
    </row>
    <row r="135" spans="3:11">
      <c r="C135" s="91"/>
    </row>
    <row r="136" spans="3:11">
      <c r="C136" s="91"/>
      <c r="D136" s="71" t="s">
        <v>1055</v>
      </c>
      <c r="E136">
        <v>1965</v>
      </c>
      <c r="F136" t="s">
        <v>1056</v>
      </c>
      <c r="G136">
        <v>75</v>
      </c>
      <c r="H136">
        <v>2.5</v>
      </c>
      <c r="I136" s="51">
        <v>400</v>
      </c>
      <c r="J136" s="52">
        <v>10</v>
      </c>
      <c r="K136" t="s">
        <v>688</v>
      </c>
    </row>
    <row r="137" spans="3:11">
      <c r="C137" s="91"/>
      <c r="D137" s="71"/>
      <c r="E137">
        <v>1975</v>
      </c>
      <c r="F137" t="s">
        <v>1060</v>
      </c>
      <c r="G137">
        <v>85</v>
      </c>
      <c r="H137">
        <f>H136+1.5</f>
        <v>4</v>
      </c>
      <c r="I137" s="52">
        <v>500</v>
      </c>
      <c r="J137" s="52">
        <f>J136+2</f>
        <v>12</v>
      </c>
      <c r="K137" t="s">
        <v>688</v>
      </c>
    </row>
    <row r="138" spans="3:11">
      <c r="C138" s="91"/>
      <c r="D138" s="71"/>
      <c r="E138">
        <v>1985</v>
      </c>
      <c r="F138" t="s">
        <v>1064</v>
      </c>
      <c r="G138">
        <v>95</v>
      </c>
      <c r="H138">
        <f t="shared" ref="H138:H139" si="41">H137+1.5</f>
        <v>5.5</v>
      </c>
      <c r="I138" s="52">
        <v>600</v>
      </c>
      <c r="J138" s="52">
        <f t="shared" ref="J138:J139" si="42">J137+2</f>
        <v>14</v>
      </c>
      <c r="K138" t="s">
        <v>688</v>
      </c>
    </row>
    <row r="139" spans="3:11">
      <c r="C139" s="91"/>
      <c r="D139" s="71"/>
      <c r="E139">
        <v>1995</v>
      </c>
      <c r="F139" t="s">
        <v>1068</v>
      </c>
      <c r="G139">
        <v>105</v>
      </c>
      <c r="H139">
        <f t="shared" si="41"/>
        <v>7</v>
      </c>
      <c r="I139" s="52">
        <v>700</v>
      </c>
      <c r="J139" s="52">
        <f t="shared" si="42"/>
        <v>16</v>
      </c>
      <c r="K139" t="s">
        <v>688</v>
      </c>
    </row>
    <row r="140" spans="3:11">
      <c r="C140" s="91"/>
    </row>
    <row r="141" spans="3:11">
      <c r="C141" s="91"/>
      <c r="D141" s="71" t="s">
        <v>1132</v>
      </c>
      <c r="E141">
        <v>1965</v>
      </c>
      <c r="F141" t="s">
        <v>1133</v>
      </c>
      <c r="G141">
        <v>87.5</v>
      </c>
      <c r="H141">
        <v>3</v>
      </c>
      <c r="I141">
        <v>500</v>
      </c>
      <c r="J141" s="52">
        <v>14</v>
      </c>
      <c r="K141" t="s">
        <v>688</v>
      </c>
    </row>
    <row r="142" spans="3:11">
      <c r="C142" s="91"/>
      <c r="D142" s="71"/>
      <c r="E142">
        <v>1975</v>
      </c>
      <c r="F142" t="s">
        <v>1136</v>
      </c>
      <c r="G142">
        <f>G141+10</f>
        <v>97.5</v>
      </c>
      <c r="H142">
        <f>H141+1.5</f>
        <v>4.5</v>
      </c>
      <c r="I142">
        <v>650</v>
      </c>
      <c r="J142" s="52">
        <f>J141+2.5</f>
        <v>16.5</v>
      </c>
      <c r="K142" t="s">
        <v>688</v>
      </c>
    </row>
    <row r="143" spans="3:11">
      <c r="C143" s="91"/>
      <c r="D143" s="71"/>
      <c r="E143">
        <v>1985</v>
      </c>
      <c r="F143" t="s">
        <v>1139</v>
      </c>
      <c r="G143">
        <f>G142+10</f>
        <v>107.5</v>
      </c>
      <c r="H143">
        <f>H142+1.5</f>
        <v>6</v>
      </c>
      <c r="I143">
        <v>800</v>
      </c>
      <c r="J143" s="52">
        <f t="shared" ref="J143:J145" si="43">J142+2.5</f>
        <v>19</v>
      </c>
      <c r="K143" t="s">
        <v>688</v>
      </c>
    </row>
    <row r="144" spans="3:11">
      <c r="C144" s="91"/>
      <c r="D144" s="71"/>
      <c r="E144">
        <v>1995</v>
      </c>
      <c r="F144" t="s">
        <v>1142</v>
      </c>
      <c r="G144">
        <f>G143+10</f>
        <v>117.5</v>
      </c>
      <c r="H144">
        <f>H143+1.5</f>
        <v>7.5</v>
      </c>
      <c r="I144">
        <v>1000</v>
      </c>
      <c r="J144" s="52">
        <f t="shared" si="43"/>
        <v>21.5</v>
      </c>
      <c r="K144" t="s">
        <v>688</v>
      </c>
    </row>
    <row r="145" spans="3:11">
      <c r="C145" s="91"/>
      <c r="D145" s="71"/>
      <c r="E145">
        <v>2005</v>
      </c>
      <c r="F145" t="s">
        <v>1145</v>
      </c>
      <c r="G145">
        <f>G144+10</f>
        <v>127.5</v>
      </c>
      <c r="H145">
        <f>H144+1.5</f>
        <v>9</v>
      </c>
      <c r="I145">
        <v>1200</v>
      </c>
      <c r="J145" s="52">
        <f t="shared" si="43"/>
        <v>24</v>
      </c>
      <c r="K145" t="s">
        <v>688</v>
      </c>
    </row>
    <row r="149" spans="3:11">
      <c r="G149" s="46" t="s">
        <v>124</v>
      </c>
      <c r="H149" s="46" t="s">
        <v>125</v>
      </c>
      <c r="J149" s="47" t="s">
        <v>9</v>
      </c>
    </row>
    <row r="150" spans="3:11">
      <c r="C150" s="71" t="s">
        <v>1088</v>
      </c>
      <c r="D150" s="91" t="s">
        <v>967</v>
      </c>
      <c r="E150">
        <v>1939</v>
      </c>
      <c r="F150" t="s">
        <v>1150</v>
      </c>
      <c r="G150">
        <f>G97/2</f>
        <v>10</v>
      </c>
      <c r="J150">
        <f>J97/2</f>
        <v>0.125</v>
      </c>
    </row>
    <row r="151" spans="3:11">
      <c r="C151" s="71"/>
      <c r="D151" s="91"/>
      <c r="E151">
        <v>1942</v>
      </c>
      <c r="F151" t="s">
        <v>1151</v>
      </c>
      <c r="G151">
        <f>G98/2</f>
        <v>15</v>
      </c>
      <c r="J151">
        <f t="shared" ref="J151:J158" si="44">J98/2</f>
        <v>0.25</v>
      </c>
    </row>
    <row r="152" spans="3:11">
      <c r="C152" s="71"/>
      <c r="D152" s="91"/>
      <c r="E152">
        <v>1950</v>
      </c>
      <c r="F152" t="s">
        <v>1152</v>
      </c>
      <c r="G152">
        <f>G99/2</f>
        <v>20</v>
      </c>
      <c r="J152">
        <f t="shared" si="44"/>
        <v>0.375</v>
      </c>
    </row>
    <row r="153" spans="3:11">
      <c r="C153" s="71"/>
      <c r="D153" s="91"/>
      <c r="E153">
        <v>1960</v>
      </c>
      <c r="F153" t="s">
        <v>1153</v>
      </c>
      <c r="G153">
        <f>G100/2</f>
        <v>25</v>
      </c>
      <c r="J153">
        <f t="shared" si="44"/>
        <v>0.5</v>
      </c>
    </row>
    <row r="154" spans="3:11">
      <c r="C154" s="71"/>
      <c r="D154" s="91"/>
      <c r="E154">
        <v>1970</v>
      </c>
      <c r="F154" t="s">
        <v>1154</v>
      </c>
      <c r="G154">
        <f>G101/2</f>
        <v>30</v>
      </c>
      <c r="J154">
        <f t="shared" si="44"/>
        <v>0.625</v>
      </c>
    </row>
    <row r="155" spans="3:11">
      <c r="C155" s="71"/>
      <c r="D155" s="91"/>
      <c r="E155">
        <v>1980</v>
      </c>
      <c r="F155" t="s">
        <v>1155</v>
      </c>
      <c r="G155">
        <f>G102/2</f>
        <v>35</v>
      </c>
      <c r="J155">
        <f t="shared" si="44"/>
        <v>0.75</v>
      </c>
    </row>
    <row r="156" spans="3:11">
      <c r="C156" s="71"/>
      <c r="D156" s="91"/>
      <c r="E156">
        <v>1990</v>
      </c>
      <c r="F156" t="s">
        <v>1156</v>
      </c>
      <c r="G156">
        <f>G103/2</f>
        <v>40</v>
      </c>
      <c r="J156">
        <f t="shared" si="44"/>
        <v>0.875</v>
      </c>
    </row>
    <row r="157" spans="3:11">
      <c r="C157" s="71"/>
      <c r="D157" s="91"/>
      <c r="E157">
        <v>2000</v>
      </c>
      <c r="F157" t="s">
        <v>1157</v>
      </c>
      <c r="G157">
        <f>G104/2</f>
        <v>45</v>
      </c>
      <c r="J157">
        <f t="shared" si="44"/>
        <v>1</v>
      </c>
    </row>
    <row r="158" spans="3:11">
      <c r="C158" s="71"/>
      <c r="D158" s="91"/>
      <c r="E158">
        <v>2015</v>
      </c>
      <c r="F158" t="s">
        <v>1158</v>
      </c>
      <c r="G158">
        <f>G105/2</f>
        <v>50</v>
      </c>
      <c r="J158">
        <f t="shared" si="44"/>
        <v>1.125</v>
      </c>
    </row>
    <row r="159" spans="3:11">
      <c r="C159" s="71"/>
    </row>
    <row r="160" spans="3:11">
      <c r="C160" s="71"/>
      <c r="D160" s="71" t="s">
        <v>995</v>
      </c>
      <c r="E160">
        <v>1980</v>
      </c>
      <c r="F160" t="s">
        <v>1159</v>
      </c>
      <c r="G160" s="62">
        <f>G107/2</f>
        <v>39</v>
      </c>
      <c r="J160">
        <f t="shared" ref="J160:J163" si="45">J107/2</f>
        <v>0.9</v>
      </c>
    </row>
    <row r="161" spans="3:12">
      <c r="C161" s="71"/>
      <c r="D161" s="71"/>
      <c r="E161">
        <v>1990</v>
      </c>
      <c r="F161" t="s">
        <v>1160</v>
      </c>
      <c r="G161">
        <f>G108/2</f>
        <v>44</v>
      </c>
      <c r="J161">
        <f t="shared" si="45"/>
        <v>1.0249999999999999</v>
      </c>
    </row>
    <row r="162" spans="3:12">
      <c r="C162" s="71"/>
      <c r="D162" s="71"/>
      <c r="E162">
        <v>2000</v>
      </c>
      <c r="F162" t="s">
        <v>1161</v>
      </c>
      <c r="G162">
        <f>G109/2</f>
        <v>49</v>
      </c>
      <c r="J162">
        <f t="shared" si="45"/>
        <v>1.1499999999999999</v>
      </c>
    </row>
    <row r="163" spans="3:12">
      <c r="C163" s="71"/>
      <c r="D163" s="71"/>
      <c r="E163">
        <v>2015</v>
      </c>
      <c r="F163" t="s">
        <v>1162</v>
      </c>
      <c r="G163">
        <f>G110/2</f>
        <v>54</v>
      </c>
      <c r="J163">
        <f t="shared" si="45"/>
        <v>1.2749999999999999</v>
      </c>
    </row>
    <row r="164" spans="3:12">
      <c r="C164" s="71"/>
    </row>
    <row r="165" spans="3:12">
      <c r="C165" s="71"/>
      <c r="D165" s="71" t="s">
        <v>1008</v>
      </c>
      <c r="E165">
        <v>1942</v>
      </c>
      <c r="F165" t="s">
        <v>1163</v>
      </c>
      <c r="G165" s="62">
        <f>G112/2</f>
        <v>12.5</v>
      </c>
      <c r="H165">
        <f>H112/2</f>
        <v>2.5</v>
      </c>
      <c r="J165">
        <f t="shared" ref="J165:J187" si="46">J112/2</f>
        <v>0.375</v>
      </c>
    </row>
    <row r="166" spans="3:12">
      <c r="C166" s="71"/>
      <c r="D166" s="71"/>
      <c r="E166">
        <v>1950</v>
      </c>
      <c r="F166" t="s">
        <v>1164</v>
      </c>
      <c r="G166" s="62">
        <f>G113/2</f>
        <v>17.5</v>
      </c>
      <c r="H166">
        <f>H113/2</f>
        <v>3.75</v>
      </c>
      <c r="J166">
        <f t="shared" si="46"/>
        <v>0.5</v>
      </c>
      <c r="L166" s="67"/>
    </row>
    <row r="167" spans="3:12">
      <c r="C167" s="71"/>
      <c r="D167" s="71"/>
      <c r="E167">
        <v>1960</v>
      </c>
      <c r="F167" t="s">
        <v>1165</v>
      </c>
      <c r="G167" s="62">
        <f>G114/2</f>
        <v>22.5</v>
      </c>
      <c r="H167">
        <f>H114/2</f>
        <v>5</v>
      </c>
      <c r="J167">
        <f t="shared" si="46"/>
        <v>0.625</v>
      </c>
    </row>
    <row r="168" spans="3:12">
      <c r="C168" s="71"/>
      <c r="D168" s="71"/>
      <c r="E168">
        <v>1970</v>
      </c>
      <c r="F168" t="s">
        <v>1166</v>
      </c>
      <c r="G168" s="62">
        <f>G115/2</f>
        <v>27.5</v>
      </c>
      <c r="H168">
        <f>H115/2</f>
        <v>6.25</v>
      </c>
      <c r="J168">
        <f t="shared" si="46"/>
        <v>0.75</v>
      </c>
    </row>
    <row r="169" spans="3:12">
      <c r="C169" s="71"/>
      <c r="D169" s="71"/>
      <c r="E169">
        <v>1980</v>
      </c>
      <c r="F169" t="s">
        <v>1167</v>
      </c>
      <c r="G169" s="62">
        <f>G116/2</f>
        <v>32.5</v>
      </c>
      <c r="H169">
        <f>H116/2</f>
        <v>7.5</v>
      </c>
      <c r="J169">
        <f t="shared" si="46"/>
        <v>0.875</v>
      </c>
    </row>
    <row r="170" spans="3:12">
      <c r="C170" s="71"/>
      <c r="D170" s="71"/>
      <c r="E170">
        <v>1990</v>
      </c>
      <c r="F170" t="s">
        <v>1168</v>
      </c>
      <c r="G170" s="62">
        <f>G117/2</f>
        <v>37.5</v>
      </c>
      <c r="H170">
        <f>H117/2</f>
        <v>8.75</v>
      </c>
      <c r="J170">
        <f t="shared" si="46"/>
        <v>1</v>
      </c>
    </row>
    <row r="171" spans="3:12">
      <c r="C171" s="71"/>
      <c r="D171" s="71"/>
      <c r="E171">
        <v>2000</v>
      </c>
      <c r="F171" t="s">
        <v>1169</v>
      </c>
      <c r="G171" s="62">
        <f>G118/2</f>
        <v>42.5</v>
      </c>
      <c r="H171">
        <f>H118/2</f>
        <v>10</v>
      </c>
      <c r="J171">
        <f t="shared" si="46"/>
        <v>1.125</v>
      </c>
    </row>
    <row r="172" spans="3:12">
      <c r="C172" s="71"/>
    </row>
    <row r="173" spans="3:12">
      <c r="C173" s="71"/>
      <c r="D173" s="71" t="s">
        <v>1031</v>
      </c>
      <c r="E173">
        <v>1985</v>
      </c>
      <c r="F173" t="s">
        <v>1032</v>
      </c>
      <c r="G173" s="62">
        <f>G120/2</f>
        <v>33.5</v>
      </c>
      <c r="H173">
        <f>H120/2</f>
        <v>6.25</v>
      </c>
      <c r="J173">
        <f t="shared" si="46"/>
        <v>1.05</v>
      </c>
    </row>
    <row r="174" spans="3:12">
      <c r="C174" s="71"/>
      <c r="D174" s="71"/>
      <c r="E174">
        <v>1995</v>
      </c>
      <c r="F174" t="s">
        <v>1035</v>
      </c>
      <c r="G174" s="62">
        <f>G121/2</f>
        <v>38.5</v>
      </c>
      <c r="H174">
        <f>H121/2</f>
        <v>7.5</v>
      </c>
      <c r="J174">
        <f t="shared" si="46"/>
        <v>1.175</v>
      </c>
    </row>
    <row r="175" spans="3:12">
      <c r="C175" s="71"/>
      <c r="D175" s="71"/>
      <c r="E175">
        <v>2005</v>
      </c>
      <c r="F175" t="s">
        <v>1038</v>
      </c>
      <c r="G175" s="62">
        <f>G122/2</f>
        <v>43.5</v>
      </c>
      <c r="H175">
        <f>H122/2</f>
        <v>8.75</v>
      </c>
      <c r="J175">
        <f t="shared" si="46"/>
        <v>1.3</v>
      </c>
    </row>
    <row r="176" spans="3:12">
      <c r="C176" s="71"/>
      <c r="D176" s="66"/>
    </row>
    <row r="177" spans="3:11">
      <c r="C177" s="71"/>
      <c r="D177" s="71" t="s">
        <v>1041</v>
      </c>
      <c r="E177">
        <v>1985</v>
      </c>
      <c r="F177" t="s">
        <v>1042</v>
      </c>
      <c r="G177" s="62">
        <f>G124/2</f>
        <v>28.75</v>
      </c>
      <c r="H177">
        <f>H124/2</f>
        <v>11.25</v>
      </c>
      <c r="J177">
        <f t="shared" si="46"/>
        <v>1.05</v>
      </c>
    </row>
    <row r="178" spans="3:11">
      <c r="C178" s="71"/>
      <c r="D178" s="71"/>
      <c r="E178">
        <v>1995</v>
      </c>
      <c r="F178" t="s">
        <v>1045</v>
      </c>
      <c r="G178" s="62">
        <f>G125/2</f>
        <v>31.25</v>
      </c>
      <c r="H178">
        <f>H125/2</f>
        <v>12.5</v>
      </c>
      <c r="J178">
        <f t="shared" si="46"/>
        <v>1.175</v>
      </c>
    </row>
    <row r="179" spans="3:11">
      <c r="C179" s="71"/>
      <c r="D179" s="71"/>
      <c r="E179">
        <v>2005</v>
      </c>
      <c r="F179" t="s">
        <v>1048</v>
      </c>
      <c r="G179" s="62">
        <f>G126/2</f>
        <v>33.75</v>
      </c>
      <c r="H179">
        <f>H126/2</f>
        <v>13.75</v>
      </c>
      <c r="J179">
        <f t="shared" si="46"/>
        <v>1.3</v>
      </c>
    </row>
    <row r="180" spans="3:11">
      <c r="C180" s="71"/>
      <c r="D180" s="66"/>
    </row>
    <row r="181" spans="3:11">
      <c r="C181" s="71"/>
      <c r="D181" s="66" t="s">
        <v>1051</v>
      </c>
      <c r="E181">
        <v>1955</v>
      </c>
      <c r="F181" t="s">
        <v>1052</v>
      </c>
      <c r="G181" s="62">
        <f>G128/2</f>
        <v>17.5</v>
      </c>
      <c r="H181">
        <f>H128/2</f>
        <v>6.25</v>
      </c>
      <c r="J181">
        <f t="shared" si="46"/>
        <v>0.2</v>
      </c>
    </row>
    <row r="182" spans="3:11">
      <c r="C182" s="71"/>
    </row>
    <row r="183" spans="3:11">
      <c r="C183" s="71"/>
      <c r="D183" s="71" t="s">
        <v>1072</v>
      </c>
      <c r="E183">
        <v>1942</v>
      </c>
      <c r="F183" t="s">
        <v>1073</v>
      </c>
      <c r="G183" s="63">
        <f>G130/2</f>
        <v>1.25</v>
      </c>
      <c r="H183">
        <f>H130/2</f>
        <v>5</v>
      </c>
      <c r="J183">
        <f t="shared" si="46"/>
        <v>0.05</v>
      </c>
    </row>
    <row r="184" spans="3:11">
      <c r="C184" s="71"/>
      <c r="D184" s="71"/>
      <c r="E184">
        <v>1955</v>
      </c>
      <c r="F184" t="s">
        <v>1076</v>
      </c>
      <c r="G184" s="60">
        <f>G131/2</f>
        <v>2.5</v>
      </c>
      <c r="H184">
        <f>H131/2</f>
        <v>7.5</v>
      </c>
      <c r="J184">
        <f t="shared" si="46"/>
        <v>0.2</v>
      </c>
    </row>
    <row r="185" spans="3:11">
      <c r="C185" s="71"/>
      <c r="D185" s="71"/>
      <c r="E185">
        <v>1970</v>
      </c>
      <c r="F185" t="s">
        <v>1079</v>
      </c>
      <c r="G185" s="63">
        <f>G132/2</f>
        <v>3.75</v>
      </c>
      <c r="H185">
        <f>H132/2</f>
        <v>10</v>
      </c>
      <c r="J185">
        <f t="shared" si="46"/>
        <v>0.35</v>
      </c>
    </row>
    <row r="186" spans="3:11">
      <c r="C186" s="71"/>
      <c r="D186" s="71"/>
      <c r="E186">
        <v>1985</v>
      </c>
      <c r="F186" t="s">
        <v>1082</v>
      </c>
      <c r="G186" s="62">
        <f>G133/2</f>
        <v>5</v>
      </c>
      <c r="H186">
        <f>H133/2</f>
        <v>12.5</v>
      </c>
      <c r="J186">
        <f t="shared" si="46"/>
        <v>0.5</v>
      </c>
    </row>
    <row r="187" spans="3:11">
      <c r="C187" s="71"/>
      <c r="D187" s="71"/>
      <c r="E187">
        <v>2015</v>
      </c>
      <c r="F187" t="s">
        <v>1085</v>
      </c>
      <c r="G187" s="63">
        <f>G134/2</f>
        <v>6.25</v>
      </c>
      <c r="H187">
        <f>H134/2</f>
        <v>15</v>
      </c>
      <c r="J187">
        <f t="shared" si="46"/>
        <v>0.65</v>
      </c>
    </row>
    <row r="191" spans="3:11">
      <c r="G191" s="46" t="s">
        <v>124</v>
      </c>
      <c r="H191" s="46" t="s">
        <v>125</v>
      </c>
      <c r="I191" s="46" t="s">
        <v>248</v>
      </c>
      <c r="J191" s="46" t="s">
        <v>250</v>
      </c>
      <c r="K191" s="47" t="s">
        <v>9</v>
      </c>
    </row>
    <row r="192" spans="3:11">
      <c r="C192" s="71" t="s">
        <v>1170</v>
      </c>
      <c r="D192" s="71" t="s">
        <v>1055</v>
      </c>
      <c r="E192">
        <v>1965</v>
      </c>
      <c r="F192" t="s">
        <v>1056</v>
      </c>
      <c r="G192">
        <f>G136/2</f>
        <v>37.5</v>
      </c>
      <c r="H192">
        <f>H136/2</f>
        <v>1.25</v>
      </c>
      <c r="I192">
        <v>0.5</v>
      </c>
      <c r="J192">
        <v>0.75</v>
      </c>
      <c r="K192">
        <v>8</v>
      </c>
    </row>
    <row r="193" spans="3:11">
      <c r="C193" s="71"/>
      <c r="D193" s="71"/>
      <c r="E193">
        <v>1975</v>
      </c>
      <c r="F193" t="s">
        <v>1060</v>
      </c>
      <c r="G193">
        <f>G137/2</f>
        <v>42.5</v>
      </c>
      <c r="H193">
        <f>H137/2</f>
        <v>2</v>
      </c>
      <c r="I193">
        <f>I192+0.4</f>
        <v>0.9</v>
      </c>
      <c r="J193">
        <f>J192+0.5</f>
        <v>1.25</v>
      </c>
      <c r="K193">
        <v>9</v>
      </c>
    </row>
    <row r="194" spans="3:11">
      <c r="C194" s="71"/>
      <c r="D194" s="71"/>
      <c r="E194">
        <v>1985</v>
      </c>
      <c r="F194" t="s">
        <v>1064</v>
      </c>
      <c r="G194">
        <f>G138/2</f>
        <v>47.5</v>
      </c>
      <c r="H194">
        <f>H138/2</f>
        <v>2.75</v>
      </c>
      <c r="I194">
        <f>I193+0.4</f>
        <v>1.3</v>
      </c>
      <c r="J194">
        <f>J193+0.5</f>
        <v>1.75</v>
      </c>
      <c r="K194">
        <f t="shared" ref="K194:K195" si="47">K193+1</f>
        <v>10</v>
      </c>
    </row>
    <row r="195" spans="3:11">
      <c r="C195" s="71"/>
      <c r="D195" s="71"/>
      <c r="E195">
        <v>1995</v>
      </c>
      <c r="F195" t="s">
        <v>1068</v>
      </c>
      <c r="G195">
        <f>G139/2</f>
        <v>52.5</v>
      </c>
      <c r="H195">
        <f>H139/2</f>
        <v>3.5</v>
      </c>
      <c r="I195">
        <f>I194+0.4</f>
        <v>1.7000000000000002</v>
      </c>
      <c r="J195">
        <f>J194+0.5</f>
        <v>2.25</v>
      </c>
      <c r="K195">
        <f t="shared" si="47"/>
        <v>11</v>
      </c>
    </row>
    <row r="196" spans="3:11">
      <c r="C196" s="71"/>
    </row>
    <row r="197" spans="3:11">
      <c r="C197" s="71"/>
      <c r="D197" s="71" t="s">
        <v>1171</v>
      </c>
      <c r="E197">
        <v>1995</v>
      </c>
      <c r="F197" t="s">
        <v>1172</v>
      </c>
      <c r="G197">
        <v>60</v>
      </c>
      <c r="H197">
        <v>4</v>
      </c>
      <c r="I197">
        <v>3</v>
      </c>
      <c r="J197">
        <v>2.5</v>
      </c>
      <c r="K197">
        <v>9</v>
      </c>
    </row>
    <row r="198" spans="3:11">
      <c r="C198" s="71"/>
      <c r="D198" s="71"/>
      <c r="E198">
        <v>2005</v>
      </c>
      <c r="F198" t="s">
        <v>1173</v>
      </c>
      <c r="G198">
        <f>G197+5</f>
        <v>65</v>
      </c>
      <c r="H198">
        <f>H197+0.5</f>
        <v>4.5</v>
      </c>
      <c r="I198">
        <f>I197+0.75</f>
        <v>3.75</v>
      </c>
      <c r="J198">
        <f>J197+0.5</f>
        <v>3</v>
      </c>
      <c r="K198">
        <f>K197+0.75</f>
        <v>9.75</v>
      </c>
    </row>
    <row r="199" spans="3:11">
      <c r="C199" s="71"/>
      <c r="D199" s="71"/>
      <c r="E199">
        <v>2015</v>
      </c>
      <c r="F199" t="s">
        <v>1174</v>
      </c>
      <c r="G199">
        <f>G198+5</f>
        <v>70</v>
      </c>
      <c r="H199">
        <f>H198+0.5</f>
        <v>5</v>
      </c>
      <c r="I199">
        <f>I198+0.75</f>
        <v>4.5</v>
      </c>
      <c r="J199">
        <f>J198+0.5</f>
        <v>3.5</v>
      </c>
      <c r="K199">
        <f>K198+0.75</f>
        <v>10.5</v>
      </c>
    </row>
    <row r="200" spans="3:11">
      <c r="C200" s="71"/>
    </row>
    <row r="201" spans="3:11">
      <c r="C201" s="71"/>
      <c r="D201" s="71" t="s">
        <v>1175</v>
      </c>
      <c r="E201">
        <v>1965</v>
      </c>
      <c r="F201" t="s">
        <v>1176</v>
      </c>
      <c r="G201">
        <v>15</v>
      </c>
      <c r="J201">
        <v>1</v>
      </c>
      <c r="K201">
        <v>4</v>
      </c>
    </row>
    <row r="202" spans="3:11">
      <c r="C202" s="71"/>
      <c r="D202" s="71"/>
      <c r="E202">
        <v>1975</v>
      </c>
      <c r="F202" t="s">
        <v>1177</v>
      </c>
      <c r="G202">
        <f>G201+2.5</f>
        <v>17.5</v>
      </c>
      <c r="J202">
        <f>J201+0.5</f>
        <v>1.5</v>
      </c>
      <c r="K202">
        <f>K201+0.75</f>
        <v>4.75</v>
      </c>
    </row>
    <row r="203" spans="3:11">
      <c r="C203" s="71"/>
      <c r="D203" s="71"/>
      <c r="E203">
        <v>1985</v>
      </c>
      <c r="F203" t="s">
        <v>1178</v>
      </c>
      <c r="G203">
        <f t="shared" ref="G203:G206" si="48">G202+2.5</f>
        <v>20</v>
      </c>
      <c r="J203">
        <f t="shared" ref="J203:J206" si="49">J202+0.5</f>
        <v>2</v>
      </c>
      <c r="K203">
        <f t="shared" ref="K203:K206" si="50">K202+0.75</f>
        <v>5.5</v>
      </c>
    </row>
    <row r="204" spans="3:11">
      <c r="C204" s="71"/>
      <c r="D204" s="71"/>
      <c r="E204">
        <v>1995</v>
      </c>
      <c r="F204" t="s">
        <v>1179</v>
      </c>
      <c r="G204">
        <f t="shared" si="48"/>
        <v>22.5</v>
      </c>
      <c r="J204">
        <f t="shared" si="49"/>
        <v>2.5</v>
      </c>
      <c r="K204">
        <f t="shared" si="50"/>
        <v>6.25</v>
      </c>
    </row>
    <row r="205" spans="3:11">
      <c r="C205" s="71"/>
      <c r="D205" s="71"/>
      <c r="E205">
        <v>2005</v>
      </c>
      <c r="F205" t="s">
        <v>1180</v>
      </c>
      <c r="G205">
        <f t="shared" si="48"/>
        <v>25</v>
      </c>
      <c r="J205">
        <f t="shared" si="49"/>
        <v>3</v>
      </c>
      <c r="K205">
        <f t="shared" si="50"/>
        <v>7</v>
      </c>
    </row>
    <row r="206" spans="3:11">
      <c r="C206" s="71"/>
      <c r="D206" s="71"/>
      <c r="E206">
        <v>2015</v>
      </c>
      <c r="F206" t="s">
        <v>1181</v>
      </c>
      <c r="G206">
        <f t="shared" si="48"/>
        <v>27.5</v>
      </c>
      <c r="J206">
        <f t="shared" si="49"/>
        <v>3.5</v>
      </c>
      <c r="K206">
        <f t="shared" si="50"/>
        <v>7.75</v>
      </c>
    </row>
    <row r="208" spans="3:11">
      <c r="D208" s="66"/>
    </row>
    <row r="209" spans="3:18">
      <c r="D209" s="66"/>
    </row>
    <row r="210" spans="3:18">
      <c r="D210" s="66"/>
      <c r="G210" s="46" t="s">
        <v>244</v>
      </c>
      <c r="H210" s="64" t="s">
        <v>246</v>
      </c>
      <c r="I210" s="46" t="s">
        <v>247</v>
      </c>
      <c r="J210" s="46" t="s">
        <v>478</v>
      </c>
      <c r="K210" s="46" t="s">
        <v>127</v>
      </c>
      <c r="L210" s="47" t="s">
        <v>9</v>
      </c>
      <c r="N210" s="46" t="s">
        <v>254</v>
      </c>
      <c r="O210" s="46" t="s">
        <v>255</v>
      </c>
      <c r="P210" s="46" t="s">
        <v>480</v>
      </c>
      <c r="Q210" s="46" t="s">
        <v>481</v>
      </c>
    </row>
    <row r="211" spans="3:18">
      <c r="C211" s="71" t="s">
        <v>1182</v>
      </c>
      <c r="D211" s="71" t="s">
        <v>10</v>
      </c>
      <c r="E211">
        <v>1940</v>
      </c>
      <c r="F211" t="s">
        <v>1183</v>
      </c>
      <c r="G211" s="27">
        <v>-0.05</v>
      </c>
      <c r="J211" s="27">
        <v>-0.85</v>
      </c>
    </row>
    <row r="212" spans="3:18">
      <c r="C212" s="71"/>
      <c r="D212" s="71"/>
      <c r="E212">
        <v>1960</v>
      </c>
      <c r="F212" t="s">
        <v>1184</v>
      </c>
      <c r="G212" s="27">
        <v>-0.05</v>
      </c>
      <c r="J212" s="27">
        <v>-0.75</v>
      </c>
    </row>
    <row r="213" spans="3:18">
      <c r="C213" s="71"/>
      <c r="D213" s="71"/>
      <c r="E213">
        <v>1980</v>
      </c>
      <c r="F213" t="s">
        <v>1185</v>
      </c>
      <c r="G213" s="27">
        <v>-0.05</v>
      </c>
      <c r="J213" s="27">
        <v>-0.55000000000000004</v>
      </c>
    </row>
    <row r="214" spans="3:18">
      <c r="C214" s="71"/>
      <c r="D214" s="71"/>
      <c r="E214">
        <v>2000</v>
      </c>
      <c r="F214" t="s">
        <v>1186</v>
      </c>
      <c r="G214" s="27">
        <v>-0.05</v>
      </c>
      <c r="J214" s="27">
        <v>-0.35</v>
      </c>
    </row>
    <row r="215" spans="3:18">
      <c r="C215" s="71"/>
      <c r="D215" s="71"/>
      <c r="E215">
        <v>2020</v>
      </c>
      <c r="F215" t="s">
        <v>1187</v>
      </c>
      <c r="G215" s="27">
        <v>-0.05</v>
      </c>
      <c r="J215" s="27">
        <v>-0.15</v>
      </c>
    </row>
    <row r="216" spans="3:18">
      <c r="C216" s="71"/>
      <c r="D216" s="66"/>
      <c r="P216">
        <v>1.1000000000000001</v>
      </c>
      <c r="Q216">
        <v>1.35</v>
      </c>
      <c r="R216">
        <v>1.6</v>
      </c>
    </row>
    <row r="217" spans="3:18">
      <c r="C217" s="71"/>
      <c r="D217" s="71" t="s">
        <v>52</v>
      </c>
      <c r="E217">
        <v>1980</v>
      </c>
      <c r="F217" t="s">
        <v>1188</v>
      </c>
      <c r="G217" s="27">
        <v>-0.1</v>
      </c>
    </row>
    <row r="218" spans="3:18">
      <c r="C218" s="71"/>
      <c r="D218" s="71"/>
      <c r="E218">
        <v>2000</v>
      </c>
      <c r="F218" t="s">
        <v>1189</v>
      </c>
      <c r="G218" s="27">
        <v>-0.1</v>
      </c>
    </row>
    <row r="219" spans="3:18">
      <c r="C219" s="71"/>
      <c r="D219" s="71"/>
      <c r="E219">
        <v>2020</v>
      </c>
      <c r="F219" t="s">
        <v>1190</v>
      </c>
      <c r="G219" s="27">
        <v>-0.1</v>
      </c>
    </row>
    <row r="220" spans="3:18">
      <c r="C220" s="71"/>
      <c r="D220" s="66"/>
    </row>
    <row r="221" spans="3:18">
      <c r="C221" s="71"/>
      <c r="D221" s="71" t="s">
        <v>1191</v>
      </c>
      <c r="E221">
        <v>1940</v>
      </c>
      <c r="F221" t="s">
        <v>1192</v>
      </c>
      <c r="H221">
        <v>2.5</v>
      </c>
      <c r="I221">
        <v>4</v>
      </c>
      <c r="L221">
        <v>0.25</v>
      </c>
      <c r="N221">
        <v>-0.05</v>
      </c>
      <c r="O221" s="27">
        <v>-0.1</v>
      </c>
      <c r="P221">
        <v>4</v>
      </c>
    </row>
    <row r="222" spans="3:18">
      <c r="C222" s="71"/>
      <c r="D222" s="71"/>
      <c r="E222">
        <v>1940</v>
      </c>
      <c r="F222" t="s">
        <v>1193</v>
      </c>
      <c r="G222" s="27">
        <v>-0.05</v>
      </c>
      <c r="H222" s="27"/>
      <c r="I222" s="27"/>
      <c r="J222" s="27">
        <v>-0.85</v>
      </c>
      <c r="K222" s="27"/>
      <c r="L222" s="27"/>
      <c r="N222">
        <v>0.02</v>
      </c>
      <c r="O222" s="27">
        <v>0.02</v>
      </c>
    </row>
    <row r="223" spans="3:18">
      <c r="C223" s="71"/>
      <c r="D223" s="71"/>
      <c r="E223">
        <v>1940</v>
      </c>
      <c r="F223" t="s">
        <v>1194</v>
      </c>
      <c r="G223" s="27">
        <f>G222*2</f>
        <v>-0.1</v>
      </c>
      <c r="H223" s="28">
        <f>H222+2.5%</f>
        <v>2.5000000000000001E-2</v>
      </c>
      <c r="I223" s="28">
        <f>I222+2.5%</f>
        <v>2.5000000000000001E-2</v>
      </c>
      <c r="J223" s="27">
        <v>-0.85</v>
      </c>
      <c r="K223" s="28"/>
      <c r="L223" s="28"/>
      <c r="N223">
        <f>N222*2</f>
        <v>0.04</v>
      </c>
      <c r="O223" s="27">
        <f>O222*2</f>
        <v>0.04</v>
      </c>
    </row>
    <row r="224" spans="3:18">
      <c r="C224" s="71"/>
      <c r="D224" s="71"/>
      <c r="E224">
        <v>1940</v>
      </c>
      <c r="F224" t="s">
        <v>1195</v>
      </c>
      <c r="G224" s="27">
        <f>G223*2</f>
        <v>-0.2</v>
      </c>
      <c r="H224" s="27">
        <f>H223+2.5%</f>
        <v>0.05</v>
      </c>
      <c r="I224" s="27">
        <f>I223+2.5%</f>
        <v>0.05</v>
      </c>
      <c r="J224" s="27">
        <v>-0.85</v>
      </c>
      <c r="K224" s="27"/>
      <c r="L224" s="27"/>
      <c r="N224">
        <f>N223*2</f>
        <v>0.08</v>
      </c>
      <c r="O224" s="27">
        <f>O223*2</f>
        <v>0.08</v>
      </c>
    </row>
    <row r="225" spans="3:15">
      <c r="C225" s="71"/>
      <c r="D225" s="71"/>
    </row>
    <row r="226" spans="3:15">
      <c r="C226" s="71"/>
      <c r="D226" s="71"/>
      <c r="E226">
        <v>1950</v>
      </c>
      <c r="F226" t="s">
        <v>1193</v>
      </c>
      <c r="G226" s="27">
        <v>-0.05</v>
      </c>
      <c r="H226" s="27">
        <f>H222+5%</f>
        <v>0.05</v>
      </c>
      <c r="I226" s="27">
        <f>I222+5%</f>
        <v>0.05</v>
      </c>
      <c r="J226" s="27">
        <v>-0.8</v>
      </c>
      <c r="K226" s="27"/>
      <c r="L226" s="27"/>
      <c r="N226">
        <v>0.02</v>
      </c>
      <c r="O226" s="28">
        <f>O222+0.5%</f>
        <v>2.5000000000000001E-2</v>
      </c>
    </row>
    <row r="227" spans="3:15">
      <c r="C227" s="71"/>
      <c r="D227" s="71"/>
      <c r="E227">
        <v>1950</v>
      </c>
      <c r="F227" t="s">
        <v>1194</v>
      </c>
      <c r="G227" s="27">
        <f>G226*2</f>
        <v>-0.1</v>
      </c>
      <c r="H227" s="28">
        <f>H226+2.5%</f>
        <v>7.5000000000000011E-2</v>
      </c>
      <c r="I227" s="28">
        <f>I226+2.5%</f>
        <v>7.5000000000000011E-2</v>
      </c>
      <c r="J227" s="27">
        <v>-0.8</v>
      </c>
      <c r="K227" s="28"/>
      <c r="L227" s="28"/>
      <c r="N227">
        <f>N226*2</f>
        <v>0.04</v>
      </c>
      <c r="O227" s="27">
        <f>O226*2</f>
        <v>0.05</v>
      </c>
    </row>
    <row r="228" spans="3:15">
      <c r="C228" s="71"/>
      <c r="D228" s="71"/>
      <c r="E228">
        <v>1950</v>
      </c>
      <c r="F228" t="s">
        <v>1195</v>
      </c>
      <c r="G228" s="27">
        <f>G227*2</f>
        <v>-0.2</v>
      </c>
      <c r="H228" s="27">
        <f>H227+2.5%</f>
        <v>0.1</v>
      </c>
      <c r="I228" s="27">
        <f>I227+2.5%</f>
        <v>0.1</v>
      </c>
      <c r="J228" s="27">
        <v>-0.8</v>
      </c>
      <c r="K228" s="27"/>
      <c r="L228" s="27"/>
      <c r="N228">
        <f>N227*2</f>
        <v>0.08</v>
      </c>
      <c r="O228" s="27">
        <f>O227*2</f>
        <v>0.1</v>
      </c>
    </row>
    <row r="229" spans="3:15">
      <c r="C229" s="71"/>
      <c r="D229" s="71"/>
    </row>
    <row r="230" spans="3:15">
      <c r="C230" s="71"/>
      <c r="D230" s="71"/>
      <c r="E230">
        <v>1960</v>
      </c>
      <c r="F230" t="s">
        <v>1193</v>
      </c>
      <c r="G230" s="27">
        <v>-0.05</v>
      </c>
      <c r="H230" s="27">
        <f>H226+5%</f>
        <v>0.1</v>
      </c>
      <c r="I230" s="27">
        <f>I226+5%</f>
        <v>0.1</v>
      </c>
      <c r="J230" s="27">
        <v>-0.75</v>
      </c>
      <c r="K230" s="27"/>
      <c r="L230" s="27"/>
      <c r="N230">
        <v>0.02</v>
      </c>
      <c r="O230" s="27">
        <f>O226+0.5%</f>
        <v>3.0000000000000002E-2</v>
      </c>
    </row>
    <row r="231" spans="3:15">
      <c r="C231" s="71"/>
      <c r="D231" s="71"/>
      <c r="E231">
        <v>1960</v>
      </c>
      <c r="F231" t="s">
        <v>1194</v>
      </c>
      <c r="G231" s="27">
        <f>G230*2</f>
        <v>-0.1</v>
      </c>
      <c r="H231" s="28">
        <f>H230+2.5%</f>
        <v>0.125</v>
      </c>
      <c r="I231" s="28">
        <f>I230+2.5%</f>
        <v>0.125</v>
      </c>
      <c r="J231" s="27">
        <v>-0.75</v>
      </c>
      <c r="K231" s="28"/>
      <c r="L231" s="28"/>
      <c r="N231">
        <f>N230*2</f>
        <v>0.04</v>
      </c>
      <c r="O231" s="27">
        <f>O230*2</f>
        <v>6.0000000000000005E-2</v>
      </c>
    </row>
    <row r="232" spans="3:15">
      <c r="C232" s="71"/>
      <c r="D232" s="71"/>
      <c r="E232">
        <v>1960</v>
      </c>
      <c r="F232" t="s">
        <v>1195</v>
      </c>
      <c r="G232" s="27">
        <f>G231*2</f>
        <v>-0.2</v>
      </c>
      <c r="H232" s="27">
        <f>H231+2.5%</f>
        <v>0.15</v>
      </c>
      <c r="I232" s="27">
        <f>I231+2.5%</f>
        <v>0.15</v>
      </c>
      <c r="J232" s="27">
        <v>-0.75</v>
      </c>
      <c r="K232" s="27"/>
      <c r="L232" s="27"/>
      <c r="N232">
        <f>N231*2</f>
        <v>0.08</v>
      </c>
      <c r="O232" s="27">
        <f>O231*2</f>
        <v>0.12000000000000001</v>
      </c>
    </row>
    <row r="233" spans="3:15">
      <c r="C233" s="71"/>
      <c r="D233" s="71"/>
    </row>
    <row r="234" spans="3:15">
      <c r="C234" s="71"/>
      <c r="D234" s="71"/>
      <c r="E234">
        <v>1980</v>
      </c>
      <c r="F234" t="s">
        <v>1193</v>
      </c>
      <c r="G234" s="27">
        <v>-0.05</v>
      </c>
      <c r="H234" s="27">
        <f>H230+5%</f>
        <v>0.15000000000000002</v>
      </c>
      <c r="I234" s="27">
        <f>I230+5%</f>
        <v>0.15000000000000002</v>
      </c>
      <c r="J234" s="27">
        <v>-0.55000000000000004</v>
      </c>
      <c r="K234" s="27"/>
      <c r="L234" s="27"/>
      <c r="N234">
        <v>0.02</v>
      </c>
      <c r="O234" s="28">
        <f>O230+0.5%</f>
        <v>3.5000000000000003E-2</v>
      </c>
    </row>
    <row r="235" spans="3:15">
      <c r="C235" s="71"/>
      <c r="D235" s="71"/>
      <c r="E235">
        <v>1980</v>
      </c>
      <c r="F235" t="s">
        <v>1194</v>
      </c>
      <c r="G235" s="27">
        <f>G234*2</f>
        <v>-0.1</v>
      </c>
      <c r="H235" s="28">
        <f>H234+2.5%</f>
        <v>0.17500000000000002</v>
      </c>
      <c r="I235" s="28">
        <f>I234+2.5%</f>
        <v>0.17500000000000002</v>
      </c>
      <c r="J235" s="27">
        <v>-0.55000000000000004</v>
      </c>
      <c r="K235" s="28"/>
      <c r="L235" s="28"/>
      <c r="N235">
        <f>N234*2</f>
        <v>0.04</v>
      </c>
      <c r="O235" s="27">
        <f>O234*2</f>
        <v>7.0000000000000007E-2</v>
      </c>
    </row>
    <row r="236" spans="3:15">
      <c r="C236" s="71"/>
      <c r="D236" s="71"/>
      <c r="E236">
        <v>1980</v>
      </c>
      <c r="F236" t="s">
        <v>1195</v>
      </c>
      <c r="G236" s="27">
        <f>G235*2</f>
        <v>-0.2</v>
      </c>
      <c r="H236" s="27">
        <f>H235+2.5%</f>
        <v>0.2</v>
      </c>
      <c r="I236" s="27">
        <f>I235+2.5%</f>
        <v>0.2</v>
      </c>
      <c r="J236" s="27">
        <v>-0.55000000000000004</v>
      </c>
      <c r="K236" s="27"/>
      <c r="L236" s="27"/>
      <c r="N236">
        <f>N235*2</f>
        <v>0.08</v>
      </c>
      <c r="O236" s="27">
        <f>O235*2</f>
        <v>0.14000000000000001</v>
      </c>
    </row>
    <row r="237" spans="3:15">
      <c r="C237" s="71"/>
      <c r="D237" s="71"/>
    </row>
    <row r="238" spans="3:15">
      <c r="C238" s="71"/>
      <c r="D238" s="71"/>
      <c r="E238">
        <v>2000</v>
      </c>
      <c r="F238" t="s">
        <v>1193</v>
      </c>
      <c r="G238" s="27">
        <v>-0.05</v>
      </c>
      <c r="H238" s="27">
        <f>H234+5%</f>
        <v>0.2</v>
      </c>
      <c r="I238" s="27">
        <f>I234+5%</f>
        <v>0.2</v>
      </c>
      <c r="J238" s="27">
        <v>-0.35</v>
      </c>
      <c r="K238" s="27"/>
      <c r="L238" s="27"/>
      <c r="N238">
        <v>0.02</v>
      </c>
      <c r="O238" s="27">
        <f>O234+0.5%</f>
        <v>0.04</v>
      </c>
    </row>
    <row r="239" spans="3:15">
      <c r="C239" s="71"/>
      <c r="D239" s="71"/>
      <c r="E239">
        <v>2000</v>
      </c>
      <c r="F239" t="s">
        <v>1194</v>
      </c>
      <c r="G239" s="27">
        <f>G238*2</f>
        <v>-0.1</v>
      </c>
      <c r="H239" s="28">
        <f>H238+2.5%</f>
        <v>0.22500000000000001</v>
      </c>
      <c r="I239" s="28">
        <f>I238+2.5%</f>
        <v>0.22500000000000001</v>
      </c>
      <c r="J239" s="27">
        <v>-0.35</v>
      </c>
      <c r="K239" s="28"/>
      <c r="L239" s="28"/>
      <c r="N239">
        <f>N238*2</f>
        <v>0.04</v>
      </c>
      <c r="O239" s="27">
        <f>O238*2</f>
        <v>0.08</v>
      </c>
    </row>
    <row r="240" spans="3:15">
      <c r="C240" s="71"/>
      <c r="D240" s="71"/>
      <c r="E240">
        <v>2000</v>
      </c>
      <c r="F240" t="s">
        <v>1195</v>
      </c>
      <c r="G240" s="27">
        <f>G239*2</f>
        <v>-0.2</v>
      </c>
      <c r="H240" s="27">
        <f>H239+2.5%</f>
        <v>0.25</v>
      </c>
      <c r="I240" s="27">
        <f>I239+2.5%</f>
        <v>0.25</v>
      </c>
      <c r="J240" s="27">
        <v>-0.35</v>
      </c>
      <c r="K240" s="27"/>
      <c r="L240" s="27"/>
      <c r="N240">
        <f>N239*2</f>
        <v>0.08</v>
      </c>
      <c r="O240" s="27">
        <f>O239*2</f>
        <v>0.16</v>
      </c>
    </row>
    <row r="241" spans="3:15">
      <c r="C241" s="71"/>
      <c r="D241" s="71"/>
    </row>
    <row r="242" spans="3:15">
      <c r="C242" s="71"/>
      <c r="D242" s="71"/>
      <c r="E242">
        <v>2020</v>
      </c>
      <c r="F242" t="s">
        <v>1193</v>
      </c>
      <c r="G242" s="27">
        <v>-0.05</v>
      </c>
      <c r="H242" s="27">
        <f>H238+5%</f>
        <v>0.25</v>
      </c>
      <c r="I242" s="27">
        <f>I238+5%</f>
        <v>0.25</v>
      </c>
      <c r="J242" s="27">
        <v>-0.15</v>
      </c>
      <c r="K242" s="27"/>
      <c r="L242" s="27"/>
      <c r="N242">
        <v>0.02</v>
      </c>
      <c r="O242" s="28">
        <f>O238+0.5%</f>
        <v>4.4999999999999998E-2</v>
      </c>
    </row>
    <row r="243" spans="3:15">
      <c r="C243" s="71"/>
      <c r="D243" s="71"/>
      <c r="E243">
        <v>2020</v>
      </c>
      <c r="F243" t="s">
        <v>1194</v>
      </c>
      <c r="G243" s="27">
        <f>G242*2</f>
        <v>-0.1</v>
      </c>
      <c r="H243" s="28">
        <f>H242+2.5%</f>
        <v>0.27500000000000002</v>
      </c>
      <c r="I243" s="28">
        <f>I242+2.5%</f>
        <v>0.27500000000000002</v>
      </c>
      <c r="J243" s="27">
        <v>-0.15</v>
      </c>
      <c r="K243" s="28"/>
      <c r="L243" s="28"/>
      <c r="N243">
        <f>N242*2</f>
        <v>0.04</v>
      </c>
      <c r="O243" s="27">
        <f>O242*2</f>
        <v>0.09</v>
      </c>
    </row>
    <row r="244" spans="3:15">
      <c r="C244" s="71"/>
      <c r="D244" s="71"/>
      <c r="E244">
        <v>2020</v>
      </c>
      <c r="F244" t="s">
        <v>1195</v>
      </c>
      <c r="G244" s="27">
        <f>G243*2</f>
        <v>-0.2</v>
      </c>
      <c r="H244" s="27">
        <f>H243+2.5%</f>
        <v>0.30000000000000004</v>
      </c>
      <c r="I244" s="27">
        <f>I243+2.5%</f>
        <v>0.30000000000000004</v>
      </c>
      <c r="J244" s="27">
        <v>-0.15</v>
      </c>
      <c r="K244" s="27"/>
      <c r="L244" s="27"/>
      <c r="N244">
        <f>N243*2</f>
        <v>0.08</v>
      </c>
      <c r="O244" s="27">
        <f>O243*2</f>
        <v>0.18</v>
      </c>
    </row>
    <row r="245" spans="3:15">
      <c r="C245" s="71"/>
      <c r="D245" s="66"/>
    </row>
    <row r="246" spans="3:15">
      <c r="C246" s="71"/>
      <c r="D246" s="71" t="s">
        <v>1196</v>
      </c>
      <c r="E246">
        <v>1940</v>
      </c>
      <c r="F246" t="s">
        <v>1197</v>
      </c>
      <c r="G246" s="27">
        <v>-0.1</v>
      </c>
      <c r="H246" s="27">
        <v>0.1</v>
      </c>
      <c r="I246" s="27">
        <v>0.1</v>
      </c>
      <c r="O246" s="27">
        <v>0.05</v>
      </c>
    </row>
    <row r="247" spans="3:15">
      <c r="C247" s="71"/>
      <c r="D247" s="71"/>
      <c r="E247">
        <v>1940</v>
      </c>
      <c r="F247" t="s">
        <v>1198</v>
      </c>
      <c r="G247" s="27">
        <f>G246*2</f>
        <v>-0.2</v>
      </c>
      <c r="O247" s="27">
        <f>O246*2</f>
        <v>0.1</v>
      </c>
    </row>
    <row r="248" spans="3:15">
      <c r="C248" s="71"/>
      <c r="D248" s="71"/>
    </row>
    <row r="249" spans="3:15">
      <c r="C249" s="71"/>
      <c r="D249" s="71"/>
      <c r="E249">
        <v>1950</v>
      </c>
      <c r="F249" t="s">
        <v>1197</v>
      </c>
      <c r="G249" s="27">
        <v>-0.1</v>
      </c>
      <c r="O249" s="27">
        <f>O246+1%</f>
        <v>6.0000000000000005E-2</v>
      </c>
    </row>
    <row r="250" spans="3:15">
      <c r="C250" s="71"/>
      <c r="D250" s="71"/>
      <c r="E250">
        <v>1950</v>
      </c>
      <c r="F250" t="s">
        <v>1198</v>
      </c>
      <c r="G250" s="27">
        <f>G249*2</f>
        <v>-0.2</v>
      </c>
      <c r="O250" s="27">
        <f>O249*2</f>
        <v>0.12000000000000001</v>
      </c>
    </row>
    <row r="251" spans="3:15">
      <c r="C251" s="71"/>
      <c r="D251" s="71"/>
    </row>
    <row r="252" spans="3:15">
      <c r="C252" s="71"/>
      <c r="D252" s="71"/>
      <c r="E252">
        <v>1960</v>
      </c>
      <c r="F252" t="s">
        <v>1197</v>
      </c>
      <c r="G252" s="27">
        <v>-0.1</v>
      </c>
      <c r="O252" s="27">
        <f>O249+1%</f>
        <v>7.0000000000000007E-2</v>
      </c>
    </row>
    <row r="253" spans="3:15">
      <c r="C253" s="71"/>
      <c r="D253" s="71"/>
      <c r="E253">
        <v>1960</v>
      </c>
      <c r="F253" t="s">
        <v>1198</v>
      </c>
      <c r="G253" s="27">
        <f>G252*2</f>
        <v>-0.2</v>
      </c>
      <c r="O253" s="27">
        <f>O252*2</f>
        <v>0.14000000000000001</v>
      </c>
    </row>
    <row r="254" spans="3:15">
      <c r="C254" s="71"/>
      <c r="D254" s="71"/>
    </row>
    <row r="255" spans="3:15">
      <c r="C255" s="71"/>
      <c r="D255" s="71"/>
      <c r="E255">
        <v>1980</v>
      </c>
      <c r="F255" t="s">
        <v>1197</v>
      </c>
      <c r="G255" s="27">
        <v>-0.1</v>
      </c>
      <c r="O255" s="27">
        <f>O252+1%</f>
        <v>0.08</v>
      </c>
    </row>
    <row r="256" spans="3:15">
      <c r="C256" s="71"/>
      <c r="D256" s="71"/>
      <c r="E256">
        <v>1980</v>
      </c>
      <c r="F256" t="s">
        <v>1198</v>
      </c>
      <c r="G256" s="27">
        <f>G255*2</f>
        <v>-0.2</v>
      </c>
      <c r="O256" s="27">
        <f>O255*2</f>
        <v>0.16</v>
      </c>
    </row>
    <row r="257" spans="3:15">
      <c r="C257" s="71"/>
      <c r="D257" s="71"/>
    </row>
    <row r="258" spans="3:15">
      <c r="C258" s="71"/>
      <c r="D258" s="71"/>
      <c r="E258">
        <v>2000</v>
      </c>
      <c r="F258" t="s">
        <v>1197</v>
      </c>
      <c r="G258" s="27">
        <v>-0.1</v>
      </c>
      <c r="O258" s="27">
        <f>O255+1%</f>
        <v>0.09</v>
      </c>
    </row>
    <row r="259" spans="3:15">
      <c r="C259" s="71"/>
      <c r="D259" s="71"/>
      <c r="E259">
        <v>2000</v>
      </c>
      <c r="F259" t="s">
        <v>1198</v>
      </c>
      <c r="G259" s="27">
        <f>G258*2</f>
        <v>-0.2</v>
      </c>
      <c r="O259" s="27">
        <f>O258*2</f>
        <v>0.18</v>
      </c>
    </row>
    <row r="260" spans="3:15">
      <c r="C260" s="71"/>
      <c r="D260" s="71"/>
    </row>
    <row r="261" spans="3:15">
      <c r="C261" s="71"/>
      <c r="D261" s="71"/>
      <c r="E261">
        <v>2020</v>
      </c>
      <c r="F261" t="s">
        <v>1197</v>
      </c>
      <c r="G261" s="27">
        <v>-0.1</v>
      </c>
      <c r="O261" s="27">
        <f>O258+1%</f>
        <v>9.9999999999999992E-2</v>
      </c>
    </row>
    <row r="262" spans="3:15">
      <c r="C262" s="71"/>
      <c r="D262" s="71"/>
      <c r="E262">
        <v>2020</v>
      </c>
      <c r="F262" t="s">
        <v>1198</v>
      </c>
      <c r="G262" s="27">
        <f>G261*2</f>
        <v>-0.2</v>
      </c>
      <c r="O262" s="27">
        <f>O261*2</f>
        <v>0.19999999999999998</v>
      </c>
    </row>
    <row r="263" spans="3:15">
      <c r="C263" s="71"/>
    </row>
    <row r="264" spans="3:15">
      <c r="C264" s="71"/>
      <c r="D264" s="71" t="s">
        <v>1199</v>
      </c>
      <c r="E264">
        <v>1990</v>
      </c>
      <c r="F264" t="s">
        <v>1200</v>
      </c>
      <c r="G264" s="27">
        <v>-0.35</v>
      </c>
      <c r="O264" s="27">
        <v>0.25</v>
      </c>
    </row>
    <row r="265" spans="3:15">
      <c r="C265" s="71"/>
      <c r="D265" s="71"/>
      <c r="E265">
        <v>2010</v>
      </c>
      <c r="F265" t="s">
        <v>1200</v>
      </c>
      <c r="G265" s="27">
        <v>-0.35</v>
      </c>
      <c r="O265" s="27">
        <f>O264+5%</f>
        <v>0.3</v>
      </c>
    </row>
    <row r="266" spans="3:15">
      <c r="D266" s="66"/>
    </row>
    <row r="267" spans="3:15">
      <c r="D267" s="66"/>
    </row>
    <row r="268" spans="3:15">
      <c r="D268" s="66"/>
    </row>
    <row r="269" spans="3:15">
      <c r="D269" s="66"/>
      <c r="G269" s="46" t="s">
        <v>124</v>
      </c>
      <c r="H269" s="46" t="s">
        <v>125</v>
      </c>
      <c r="I269" s="46" t="s">
        <v>126</v>
      </c>
      <c r="J269" s="47" t="s">
        <v>9</v>
      </c>
    </row>
    <row r="270" spans="3:15">
      <c r="C270" s="71" t="s">
        <v>1201</v>
      </c>
      <c r="D270" s="71" t="s">
        <v>967</v>
      </c>
      <c r="E270">
        <v>1940</v>
      </c>
      <c r="F270" t="s">
        <v>1202</v>
      </c>
      <c r="G270">
        <v>8</v>
      </c>
      <c r="I270" s="58">
        <v>80</v>
      </c>
    </row>
    <row r="271" spans="3:15">
      <c r="C271" s="71"/>
      <c r="D271" s="71"/>
      <c r="E271">
        <v>1960</v>
      </c>
      <c r="F271" t="s">
        <v>1203</v>
      </c>
      <c r="G271">
        <f>G270+2</f>
        <v>10</v>
      </c>
      <c r="I271" s="52">
        <v>90</v>
      </c>
    </row>
    <row r="272" spans="3:15">
      <c r="C272" s="71"/>
      <c r="D272" s="71"/>
      <c r="E272">
        <v>1970</v>
      </c>
      <c r="F272" t="s">
        <v>1204</v>
      </c>
      <c r="G272">
        <f t="shared" ref="G272:G276" si="51">G271+2</f>
        <v>12</v>
      </c>
      <c r="I272" s="52">
        <v>100</v>
      </c>
    </row>
    <row r="273" spans="3:9">
      <c r="C273" s="71"/>
      <c r="D273" s="71"/>
      <c r="E273">
        <v>1980</v>
      </c>
      <c r="F273" t="s">
        <v>1205</v>
      </c>
      <c r="G273">
        <f t="shared" si="51"/>
        <v>14</v>
      </c>
      <c r="I273" s="52">
        <v>110</v>
      </c>
    </row>
    <row r="274" spans="3:9">
      <c r="C274" s="71"/>
      <c r="D274" s="71"/>
      <c r="E274">
        <v>1990</v>
      </c>
      <c r="F274" t="s">
        <v>1206</v>
      </c>
      <c r="G274">
        <f t="shared" si="51"/>
        <v>16</v>
      </c>
      <c r="I274" s="52">
        <v>120</v>
      </c>
    </row>
    <row r="275" spans="3:9">
      <c r="C275" s="71"/>
      <c r="D275" s="71"/>
      <c r="E275">
        <v>2000</v>
      </c>
      <c r="F275" t="s">
        <v>1206</v>
      </c>
      <c r="G275">
        <f t="shared" si="51"/>
        <v>18</v>
      </c>
      <c r="I275" s="52">
        <v>130</v>
      </c>
    </row>
    <row r="276" spans="3:9">
      <c r="C276" s="71"/>
      <c r="D276" s="71"/>
      <c r="E276">
        <v>2010</v>
      </c>
      <c r="F276" t="s">
        <v>1206</v>
      </c>
      <c r="G276">
        <f t="shared" si="51"/>
        <v>20</v>
      </c>
      <c r="I276" s="52">
        <v>140</v>
      </c>
    </row>
    <row r="277" spans="3:9">
      <c r="C277" s="71"/>
      <c r="D277" s="66"/>
    </row>
    <row r="278" spans="3:9">
      <c r="C278" s="71"/>
      <c r="D278" s="71" t="s">
        <v>967</v>
      </c>
      <c r="E278">
        <v>1980</v>
      </c>
      <c r="F278" t="s">
        <v>1205</v>
      </c>
      <c r="I278" s="58">
        <v>125</v>
      </c>
    </row>
    <row r="279" spans="3:9">
      <c r="C279" s="71"/>
      <c r="D279" s="71"/>
      <c r="E279">
        <v>1990</v>
      </c>
      <c r="F279" t="s">
        <v>1206</v>
      </c>
      <c r="I279" s="52">
        <v>135</v>
      </c>
    </row>
    <row r="280" spans="3:9">
      <c r="C280" s="71"/>
      <c r="D280" s="71"/>
      <c r="E280">
        <v>2000</v>
      </c>
      <c r="F280" t="s">
        <v>1206</v>
      </c>
      <c r="I280" s="52">
        <v>145</v>
      </c>
    </row>
    <row r="281" spans="3:9">
      <c r="C281" s="71"/>
      <c r="D281" s="71"/>
      <c r="E281">
        <v>2010</v>
      </c>
      <c r="F281" t="s">
        <v>1206</v>
      </c>
      <c r="I281">
        <v>155</v>
      </c>
    </row>
    <row r="282" spans="3:9">
      <c r="C282" s="71"/>
      <c r="D282" s="66"/>
    </row>
    <row r="283" spans="3:9">
      <c r="C283" s="71"/>
      <c r="D283" s="71" t="s">
        <v>1072</v>
      </c>
      <c r="E283">
        <v>1940</v>
      </c>
      <c r="F283" t="s">
        <v>1207</v>
      </c>
    </row>
    <row r="284" spans="3:9">
      <c r="C284" s="71"/>
      <c r="D284" s="71"/>
      <c r="E284">
        <v>1980</v>
      </c>
      <c r="F284" t="s">
        <v>1208</v>
      </c>
    </row>
    <row r="285" spans="3:9">
      <c r="C285" s="71"/>
      <c r="D285" s="71"/>
      <c r="E285">
        <v>2000</v>
      </c>
      <c r="F285" t="s">
        <v>1209</v>
      </c>
    </row>
    <row r="286" spans="3:9">
      <c r="C286" s="71"/>
      <c r="D286" s="71"/>
      <c r="E286">
        <v>2020</v>
      </c>
      <c r="F286" t="s">
        <v>1210</v>
      </c>
    </row>
    <row r="287" spans="3:9">
      <c r="D287" s="66"/>
    </row>
    <row r="288" spans="3:9">
      <c r="D288" s="66"/>
    </row>
    <row r="289" spans="3:10">
      <c r="D289" s="66"/>
    </row>
    <row r="290" spans="3:10">
      <c r="D290" s="66"/>
      <c r="G290" s="46" t="s">
        <v>124</v>
      </c>
      <c r="H290" s="46" t="s">
        <v>125</v>
      </c>
      <c r="J290" s="47" t="s">
        <v>9</v>
      </c>
    </row>
    <row r="291" spans="3:10">
      <c r="C291" s="71" t="s">
        <v>1211</v>
      </c>
      <c r="D291" s="71" t="s">
        <v>967</v>
      </c>
      <c r="E291">
        <v>1940</v>
      </c>
      <c r="F291" t="s">
        <v>1202</v>
      </c>
    </row>
    <row r="292" spans="3:10">
      <c r="C292" s="71"/>
      <c r="D292" s="71"/>
      <c r="E292">
        <v>1960</v>
      </c>
      <c r="F292" t="s">
        <v>1203</v>
      </c>
    </row>
    <row r="293" spans="3:10">
      <c r="C293" s="71"/>
      <c r="D293" s="71"/>
      <c r="E293">
        <v>1970</v>
      </c>
      <c r="F293" t="s">
        <v>1204</v>
      </c>
    </row>
    <row r="294" spans="3:10">
      <c r="C294" s="71"/>
      <c r="D294" s="71"/>
      <c r="E294">
        <v>1980</v>
      </c>
      <c r="F294" t="s">
        <v>1205</v>
      </c>
    </row>
    <row r="295" spans="3:10">
      <c r="C295" s="71"/>
      <c r="D295" s="71"/>
      <c r="E295">
        <v>1990</v>
      </c>
      <c r="F295" t="s">
        <v>1206</v>
      </c>
    </row>
    <row r="296" spans="3:10">
      <c r="C296" s="71"/>
      <c r="D296" s="71"/>
      <c r="E296">
        <v>2000</v>
      </c>
      <c r="F296" t="s">
        <v>1206</v>
      </c>
    </row>
    <row r="297" spans="3:10">
      <c r="C297" s="71"/>
      <c r="D297" s="71"/>
      <c r="E297">
        <v>2010</v>
      </c>
      <c r="F297" t="s">
        <v>1206</v>
      </c>
    </row>
    <row r="298" spans="3:10">
      <c r="C298" s="71"/>
      <c r="D298" s="66"/>
    </row>
    <row r="299" spans="3:10">
      <c r="C299" s="71"/>
      <c r="D299" s="71" t="s">
        <v>967</v>
      </c>
      <c r="E299">
        <v>1980</v>
      </c>
      <c r="F299" t="s">
        <v>1205</v>
      </c>
    </row>
    <row r="300" spans="3:10">
      <c r="C300" s="71"/>
      <c r="D300" s="71"/>
      <c r="E300">
        <v>1990</v>
      </c>
      <c r="F300" t="s">
        <v>1206</v>
      </c>
    </row>
    <row r="301" spans="3:10">
      <c r="C301" s="71"/>
      <c r="D301" s="71"/>
      <c r="E301">
        <v>2000</v>
      </c>
      <c r="F301" t="s">
        <v>1206</v>
      </c>
    </row>
    <row r="302" spans="3:10">
      <c r="C302" s="71"/>
      <c r="D302" s="71"/>
      <c r="E302">
        <v>2010</v>
      </c>
      <c r="F302" t="s">
        <v>1206</v>
      </c>
    </row>
    <row r="303" spans="3:10">
      <c r="C303" s="71"/>
      <c r="D303" s="66"/>
    </row>
    <row r="304" spans="3:10">
      <c r="C304" s="71"/>
      <c r="D304" s="71" t="s">
        <v>1072</v>
      </c>
      <c r="E304">
        <v>1940</v>
      </c>
      <c r="F304" t="s">
        <v>1207</v>
      </c>
    </row>
    <row r="305" spans="3:13">
      <c r="C305" s="71"/>
      <c r="D305" s="71"/>
      <c r="E305">
        <v>1980</v>
      </c>
      <c r="F305" t="s">
        <v>1208</v>
      </c>
    </row>
    <row r="306" spans="3:13">
      <c r="C306" s="71"/>
      <c r="D306" s="71"/>
      <c r="E306">
        <v>2000</v>
      </c>
      <c r="F306" t="s">
        <v>1209</v>
      </c>
    </row>
    <row r="307" spans="3:13">
      <c r="C307" s="71"/>
      <c r="D307" s="71"/>
      <c r="E307">
        <v>2020</v>
      </c>
      <c r="F307" t="s">
        <v>1210</v>
      </c>
    </row>
    <row r="308" spans="3:13">
      <c r="D308" s="66"/>
    </row>
    <row r="309" spans="3:13">
      <c r="D309" s="66"/>
    </row>
    <row r="310" spans="3:13">
      <c r="D310" s="66"/>
    </row>
    <row r="311" spans="3:13">
      <c r="D311" s="66"/>
      <c r="G311" s="46" t="s">
        <v>124</v>
      </c>
      <c r="H311" s="46" t="s">
        <v>125</v>
      </c>
      <c r="I311" s="46" t="s">
        <v>126</v>
      </c>
      <c r="J311" s="47" t="s">
        <v>9</v>
      </c>
      <c r="L311" s="46" t="s">
        <v>480</v>
      </c>
      <c r="M311" s="46" t="s">
        <v>255</v>
      </c>
    </row>
    <row r="312" spans="3:13">
      <c r="C312" s="71" t="s">
        <v>1212</v>
      </c>
      <c r="D312" s="71" t="s">
        <v>1072</v>
      </c>
      <c r="E312">
        <v>1940</v>
      </c>
      <c r="F312" t="s">
        <v>1207</v>
      </c>
      <c r="L312">
        <v>4</v>
      </c>
    </row>
    <row r="313" spans="3:13">
      <c r="C313" s="71"/>
      <c r="D313" s="71"/>
      <c r="E313">
        <v>1980</v>
      </c>
      <c r="F313" t="s">
        <v>1208</v>
      </c>
      <c r="L313">
        <v>6</v>
      </c>
      <c r="M313" s="27">
        <v>-0.15</v>
      </c>
    </row>
    <row r="314" spans="3:13">
      <c r="C314" s="71"/>
      <c r="D314" s="71"/>
      <c r="E314">
        <v>2000</v>
      </c>
      <c r="F314" t="s">
        <v>1209</v>
      </c>
      <c r="L314">
        <v>8</v>
      </c>
      <c r="M314" s="27">
        <f>M313-5%</f>
        <v>-0.2</v>
      </c>
    </row>
    <row r="315" spans="3:13">
      <c r="C315" s="71"/>
      <c r="D315" s="71"/>
      <c r="E315">
        <v>2020</v>
      </c>
      <c r="F315" t="s">
        <v>1210</v>
      </c>
      <c r="L315">
        <v>10</v>
      </c>
      <c r="M315" s="27">
        <f>M314-5%</f>
        <v>-0.25</v>
      </c>
    </row>
    <row r="316" spans="3:13">
      <c r="D316" s="66"/>
    </row>
    <row r="317" spans="3:13">
      <c r="D317" s="66"/>
    </row>
    <row r="318" spans="3:13">
      <c r="D318" s="66"/>
    </row>
    <row r="319" spans="3:13">
      <c r="D319" s="66"/>
      <c r="G319" s="46" t="s">
        <v>124</v>
      </c>
      <c r="H319" s="46" t="s">
        <v>125</v>
      </c>
      <c r="J319" s="47" t="s">
        <v>9</v>
      </c>
      <c r="L319" s="46" t="s">
        <v>480</v>
      </c>
    </row>
    <row r="320" spans="3:13">
      <c r="C320" s="71" t="s">
        <v>1213</v>
      </c>
      <c r="D320" s="71" t="s">
        <v>967</v>
      </c>
      <c r="E320">
        <v>1940</v>
      </c>
      <c r="F320" t="s">
        <v>1202</v>
      </c>
    </row>
    <row r="321" spans="3:12">
      <c r="C321" s="71"/>
      <c r="D321" s="71"/>
      <c r="E321">
        <v>1960</v>
      </c>
      <c r="F321" t="s">
        <v>1203</v>
      </c>
    </row>
    <row r="322" spans="3:12">
      <c r="C322" s="71"/>
      <c r="D322" s="71"/>
      <c r="E322">
        <v>1970</v>
      </c>
      <c r="F322" t="s">
        <v>1204</v>
      </c>
    </row>
    <row r="323" spans="3:12">
      <c r="C323" s="71"/>
      <c r="D323" s="71"/>
      <c r="E323">
        <v>1980</v>
      </c>
      <c r="F323" t="s">
        <v>1205</v>
      </c>
    </row>
    <row r="324" spans="3:12">
      <c r="C324" s="71"/>
      <c r="D324" s="71"/>
      <c r="E324">
        <v>1990</v>
      </c>
      <c r="F324" t="s">
        <v>1206</v>
      </c>
    </row>
    <row r="325" spans="3:12">
      <c r="C325" s="71"/>
      <c r="D325" s="71"/>
      <c r="E325">
        <v>2000</v>
      </c>
      <c r="F325" t="s">
        <v>1206</v>
      </c>
    </row>
    <row r="326" spans="3:12">
      <c r="C326" s="71"/>
      <c r="D326" s="71"/>
      <c r="E326">
        <v>2010</v>
      </c>
      <c r="F326" t="s">
        <v>1206</v>
      </c>
    </row>
    <row r="327" spans="3:12">
      <c r="C327" s="71"/>
      <c r="D327" s="66"/>
    </row>
    <row r="328" spans="3:12">
      <c r="C328" s="71"/>
      <c r="D328" s="71" t="s">
        <v>967</v>
      </c>
      <c r="E328">
        <v>1980</v>
      </c>
      <c r="F328" t="s">
        <v>1205</v>
      </c>
    </row>
    <row r="329" spans="3:12">
      <c r="C329" s="71"/>
      <c r="D329" s="71"/>
      <c r="E329">
        <v>1990</v>
      </c>
      <c r="F329" t="s">
        <v>1206</v>
      </c>
    </row>
    <row r="330" spans="3:12">
      <c r="C330" s="71"/>
      <c r="D330" s="71"/>
      <c r="E330">
        <v>2000</v>
      </c>
      <c r="F330" t="s">
        <v>1206</v>
      </c>
    </row>
    <row r="331" spans="3:12">
      <c r="C331" s="71"/>
      <c r="D331" s="71"/>
      <c r="E331">
        <v>2010</v>
      </c>
      <c r="F331" t="s">
        <v>1206</v>
      </c>
    </row>
    <row r="334" spans="3:12">
      <c r="C334" s="66"/>
      <c r="D334" s="66"/>
    </row>
    <row r="335" spans="3:12">
      <c r="C335" s="66"/>
      <c r="D335" s="66"/>
      <c r="G335" s="46" t="s">
        <v>124</v>
      </c>
      <c r="H335" s="46" t="s">
        <v>125</v>
      </c>
      <c r="I335" s="46" t="s">
        <v>126</v>
      </c>
      <c r="J335" s="47" t="s">
        <v>9</v>
      </c>
      <c r="L335" s="46" t="s">
        <v>480</v>
      </c>
    </row>
    <row r="336" spans="3:12">
      <c r="C336" s="71" t="s">
        <v>1214</v>
      </c>
      <c r="D336" s="71" t="s">
        <v>1215</v>
      </c>
      <c r="E336">
        <v>1970</v>
      </c>
    </row>
    <row r="337" spans="3:12">
      <c r="C337" s="71"/>
      <c r="D337" s="71"/>
      <c r="E337">
        <v>1980</v>
      </c>
    </row>
    <row r="338" spans="3:12">
      <c r="C338" s="71"/>
      <c r="D338" s="71"/>
      <c r="E338">
        <v>1990</v>
      </c>
    </row>
    <row r="339" spans="3:12">
      <c r="C339" s="71"/>
      <c r="D339" s="71"/>
      <c r="E339">
        <v>2000</v>
      </c>
    </row>
    <row r="340" spans="3:12">
      <c r="C340" s="71"/>
      <c r="D340" s="71"/>
      <c r="E340">
        <v>2010</v>
      </c>
    </row>
    <row r="341" spans="3:12">
      <c r="C341" s="71"/>
      <c r="D341" s="66"/>
    </row>
    <row r="342" spans="3:12">
      <c r="C342" s="71"/>
      <c r="D342" s="71" t="s">
        <v>1216</v>
      </c>
      <c r="E342">
        <v>1980</v>
      </c>
    </row>
    <row r="343" spans="3:12">
      <c r="C343" s="71"/>
      <c r="D343" s="71"/>
      <c r="E343">
        <v>1990</v>
      </c>
    </row>
    <row r="344" spans="3:12">
      <c r="C344" s="71"/>
      <c r="D344" s="71"/>
      <c r="E344">
        <v>2000</v>
      </c>
    </row>
    <row r="345" spans="3:12">
      <c r="C345" s="71"/>
      <c r="D345" s="71"/>
      <c r="E345">
        <v>2010</v>
      </c>
    </row>
    <row r="346" spans="3:12">
      <c r="C346" s="71"/>
      <c r="D346" s="71"/>
      <c r="E346">
        <v>2020</v>
      </c>
    </row>
    <row r="347" spans="3:12">
      <c r="C347" s="66"/>
      <c r="D347" s="66"/>
    </row>
    <row r="348" spans="3:12">
      <c r="C348" s="66"/>
      <c r="D348" s="66"/>
    </row>
    <row r="349" spans="3:12">
      <c r="C349" s="66"/>
      <c r="D349" s="66"/>
    </row>
    <row r="350" spans="3:12">
      <c r="C350" s="66"/>
      <c r="D350" s="66"/>
    </row>
    <row r="351" spans="3:12">
      <c r="C351" s="66"/>
      <c r="D351" s="66"/>
      <c r="G351" s="64" t="s">
        <v>244</v>
      </c>
      <c r="H351" s="46" t="s">
        <v>246</v>
      </c>
      <c r="I351" s="46" t="s">
        <v>247</v>
      </c>
      <c r="J351" s="46" t="s">
        <v>478</v>
      </c>
      <c r="K351" s="46" t="s">
        <v>127</v>
      </c>
      <c r="L351" s="47" t="s">
        <v>9</v>
      </c>
    </row>
    <row r="352" spans="3:12">
      <c r="C352" s="66" t="s">
        <v>83</v>
      </c>
      <c r="D352" s="66" t="s">
        <v>1217</v>
      </c>
      <c r="E352">
        <v>1942</v>
      </c>
      <c r="J352" s="27">
        <v>-0.15</v>
      </c>
      <c r="K352">
        <v>-1</v>
      </c>
    </row>
    <row r="353" spans="3:11">
      <c r="C353" s="66"/>
      <c r="D353" s="66"/>
      <c r="E353">
        <v>1950</v>
      </c>
      <c r="J353" s="27">
        <v>-0.15</v>
      </c>
      <c r="K353">
        <v>-1</v>
      </c>
    </row>
    <row r="354" spans="3:11">
      <c r="C354" s="66"/>
      <c r="D354" s="66"/>
      <c r="E354">
        <v>1960</v>
      </c>
      <c r="J354" s="27">
        <v>-0.15</v>
      </c>
      <c r="K354">
        <v>-1.1000000000000001</v>
      </c>
    </row>
    <row r="355" spans="3:11">
      <c r="C355" s="66"/>
      <c r="D355" s="66"/>
      <c r="E355">
        <v>1975</v>
      </c>
      <c r="J355" s="27">
        <v>-0.15</v>
      </c>
      <c r="K355">
        <v>-1.1000000000000001</v>
      </c>
    </row>
    <row r="356" spans="3:11">
      <c r="C356" s="66"/>
      <c r="D356" s="66"/>
      <c r="E356">
        <v>1990</v>
      </c>
      <c r="J356" s="27">
        <v>-0.15</v>
      </c>
      <c r="K356">
        <v>-1.2</v>
      </c>
    </row>
    <row r="357" spans="3:11">
      <c r="C357" s="66"/>
      <c r="D357" s="66"/>
      <c r="E357">
        <v>2005</v>
      </c>
      <c r="J357" s="27">
        <v>-0.15</v>
      </c>
      <c r="K357">
        <v>-1.2</v>
      </c>
    </row>
    <row r="358" spans="3:11">
      <c r="C358" s="66"/>
      <c r="D358" s="66"/>
      <c r="E358">
        <v>2020</v>
      </c>
      <c r="G358" s="27">
        <v>-0.3</v>
      </c>
      <c r="J358" s="27">
        <v>-0.15</v>
      </c>
      <c r="K358">
        <v>-1.2</v>
      </c>
    </row>
    <row r="359" spans="3:11">
      <c r="C359" s="66"/>
    </row>
    <row r="360" spans="3:11">
      <c r="C360" s="66"/>
      <c r="D360" s="66" t="s">
        <v>1218</v>
      </c>
      <c r="E360">
        <v>1939</v>
      </c>
      <c r="K360">
        <v>-1.5</v>
      </c>
    </row>
    <row r="361" spans="3:11">
      <c r="C361" s="66"/>
      <c r="D361" s="66"/>
      <c r="E361">
        <v>1944</v>
      </c>
      <c r="K361">
        <v>-1.5</v>
      </c>
    </row>
    <row r="362" spans="3:11">
      <c r="C362" s="66"/>
      <c r="D362" s="66"/>
      <c r="E362">
        <v>1955</v>
      </c>
      <c r="K362">
        <v>-1.6</v>
      </c>
    </row>
    <row r="363" spans="3:11">
      <c r="C363" s="66"/>
      <c r="D363" s="66"/>
      <c r="E363">
        <v>1970</v>
      </c>
      <c r="K363">
        <v>-1.6</v>
      </c>
    </row>
    <row r="364" spans="3:11">
      <c r="C364" s="66"/>
      <c r="D364" s="66"/>
      <c r="E364">
        <v>1985</v>
      </c>
      <c r="K364">
        <v>-1.7</v>
      </c>
    </row>
    <row r="365" spans="3:11">
      <c r="C365" s="66"/>
      <c r="D365" s="66"/>
      <c r="E365">
        <v>2000</v>
      </c>
      <c r="K365">
        <v>-1.7</v>
      </c>
    </row>
    <row r="366" spans="3:11">
      <c r="C366" s="66"/>
      <c r="D366" s="66"/>
      <c r="E366">
        <v>2015</v>
      </c>
      <c r="G366" s="27">
        <v>-0.4</v>
      </c>
      <c r="K366">
        <v>-1.7</v>
      </c>
    </row>
    <row r="367" spans="3:11">
      <c r="C367" s="66"/>
    </row>
    <row r="368" spans="3:11">
      <c r="C368" s="66"/>
      <c r="D368" s="66" t="s">
        <v>1219</v>
      </c>
      <c r="E368">
        <v>1942</v>
      </c>
      <c r="J368" s="27">
        <v>0.15</v>
      </c>
      <c r="K368">
        <v>-2</v>
      </c>
    </row>
    <row r="369" spans="3:11">
      <c r="C369" s="66"/>
      <c r="D369" s="66"/>
      <c r="E369">
        <v>1950</v>
      </c>
      <c r="J369" s="27">
        <v>0.15</v>
      </c>
      <c r="K369">
        <v>-2</v>
      </c>
    </row>
    <row r="370" spans="3:11">
      <c r="C370" s="66"/>
      <c r="D370" s="66"/>
      <c r="E370">
        <v>1960</v>
      </c>
      <c r="J370" s="27">
        <v>0.15</v>
      </c>
      <c r="K370">
        <v>-2.2000000000000002</v>
      </c>
    </row>
    <row r="371" spans="3:11">
      <c r="C371" s="66"/>
      <c r="D371" s="66"/>
      <c r="E371">
        <v>1975</v>
      </c>
      <c r="J371" s="27">
        <v>0.15</v>
      </c>
      <c r="K371">
        <v>-2.2000000000000002</v>
      </c>
    </row>
    <row r="372" spans="3:11">
      <c r="C372" s="66"/>
      <c r="D372" s="66"/>
      <c r="E372">
        <v>1990</v>
      </c>
      <c r="J372" s="27">
        <v>0.15</v>
      </c>
      <c r="K372">
        <v>-2.4</v>
      </c>
    </row>
    <row r="373" spans="3:11">
      <c r="C373" s="66"/>
      <c r="D373" s="66"/>
      <c r="E373">
        <v>2005</v>
      </c>
      <c r="G373" s="27">
        <v>-0.5</v>
      </c>
      <c r="J373" s="27">
        <v>0.15</v>
      </c>
      <c r="K373">
        <v>-2.4</v>
      </c>
    </row>
    <row r="374" spans="3:11">
      <c r="C374" s="66"/>
      <c r="D374" s="66"/>
    </row>
    <row r="375" spans="3:11">
      <c r="C375" s="66"/>
      <c r="D375" s="66"/>
    </row>
    <row r="376" spans="3:11">
      <c r="G376" s="46" t="s">
        <v>124</v>
      </c>
      <c r="H376" s="46" t="s">
        <v>125</v>
      </c>
      <c r="I376" s="46" t="s">
        <v>126</v>
      </c>
      <c r="J376" s="47" t="s">
        <v>9</v>
      </c>
    </row>
    <row r="377" spans="3:11">
      <c r="C377" t="s">
        <v>1220</v>
      </c>
      <c r="D377" t="s">
        <v>1072</v>
      </c>
      <c r="E377">
        <v>1939</v>
      </c>
      <c r="I377">
        <v>50</v>
      </c>
    </row>
    <row r="378" spans="3:11">
      <c r="E378">
        <v>1960</v>
      </c>
      <c r="I378">
        <v>60</v>
      </c>
    </row>
    <row r="379" spans="3:11">
      <c r="E379">
        <v>2000</v>
      </c>
      <c r="I379">
        <v>70</v>
      </c>
    </row>
    <row r="381" spans="3:11">
      <c r="D381" t="s">
        <v>1221</v>
      </c>
      <c r="E381">
        <v>1970</v>
      </c>
    </row>
    <row r="382" spans="3:11">
      <c r="E382">
        <v>2000</v>
      </c>
    </row>
    <row r="383" spans="3:11">
      <c r="E383">
        <v>2020</v>
      </c>
    </row>
    <row r="385" spans="3:4">
      <c r="D385" t="s">
        <v>1222</v>
      </c>
    </row>
    <row r="388" spans="3:4">
      <c r="C388" t="s">
        <v>1223</v>
      </c>
      <c r="D388" t="s">
        <v>1224</v>
      </c>
    </row>
    <row r="397" spans="3:4">
      <c r="C397" t="s">
        <v>1225</v>
      </c>
      <c r="D397" t="s">
        <v>1226</v>
      </c>
    </row>
  </sheetData>
  <mergeCells count="52">
    <mergeCell ref="C5:C31"/>
    <mergeCell ref="D5:D14"/>
    <mergeCell ref="D16:D25"/>
    <mergeCell ref="D27:D31"/>
    <mergeCell ref="C48:C92"/>
    <mergeCell ref="D48:D57"/>
    <mergeCell ref="D59:D74"/>
    <mergeCell ref="D76:D79"/>
    <mergeCell ref="D85:D87"/>
    <mergeCell ref="D89:D92"/>
    <mergeCell ref="C97:C145"/>
    <mergeCell ref="C150:C187"/>
    <mergeCell ref="C192:C206"/>
    <mergeCell ref="D192:D195"/>
    <mergeCell ref="D197:D199"/>
    <mergeCell ref="D201:D206"/>
    <mergeCell ref="D183:D187"/>
    <mergeCell ref="D177:D179"/>
    <mergeCell ref="D173:D175"/>
    <mergeCell ref="D165:D171"/>
    <mergeCell ref="D160:D163"/>
    <mergeCell ref="D150:D158"/>
    <mergeCell ref="D141:D145"/>
    <mergeCell ref="D136:D139"/>
    <mergeCell ref="D130:D134"/>
    <mergeCell ref="D124:D126"/>
    <mergeCell ref="D120:D122"/>
    <mergeCell ref="D112:D118"/>
    <mergeCell ref="D107:D110"/>
    <mergeCell ref="D97:D105"/>
    <mergeCell ref="D211:D215"/>
    <mergeCell ref="D264:D265"/>
    <mergeCell ref="C211:C265"/>
    <mergeCell ref="C270:C286"/>
    <mergeCell ref="D291:D297"/>
    <mergeCell ref="D299:D302"/>
    <mergeCell ref="D270:D276"/>
    <mergeCell ref="D278:D281"/>
    <mergeCell ref="D283:D286"/>
    <mergeCell ref="D217:D219"/>
    <mergeCell ref="D221:D244"/>
    <mergeCell ref="D246:D262"/>
    <mergeCell ref="D304:D307"/>
    <mergeCell ref="C291:C307"/>
    <mergeCell ref="D312:D315"/>
    <mergeCell ref="D320:D326"/>
    <mergeCell ref="D328:D331"/>
    <mergeCell ref="D342:D346"/>
    <mergeCell ref="D336:D340"/>
    <mergeCell ref="C336:C346"/>
    <mergeCell ref="C320:C331"/>
    <mergeCell ref="C312:C31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D6EF-5557-4473-B715-487C735ED666}">
  <dimension ref="B2:CC79"/>
  <sheetViews>
    <sheetView workbookViewId="0">
      <selection activeCell="I22" sqref="I22"/>
    </sheetView>
  </sheetViews>
  <sheetFormatPr defaultRowHeight="15"/>
  <cols>
    <col min="2" max="2" width="11" customWidth="1"/>
    <col min="39" max="39" width="30.28515625" customWidth="1"/>
    <col min="40" max="40" width="11.42578125" customWidth="1"/>
    <col min="42" max="42" width="31.140625" customWidth="1"/>
    <col min="46" max="46" width="29.140625" customWidth="1"/>
    <col min="50" max="50" width="22" customWidth="1"/>
    <col min="57" max="57" width="9.42578125" bestFit="1" customWidth="1"/>
    <col min="64" max="64" width="14.28515625" bestFit="1" customWidth="1"/>
    <col min="66" max="66" width="10.42578125" bestFit="1" customWidth="1"/>
    <col min="70" max="70" width="10" bestFit="1" customWidth="1"/>
    <col min="71" max="71" width="9.42578125" bestFit="1" customWidth="1"/>
    <col min="75" max="75" width="10.42578125" bestFit="1" customWidth="1"/>
    <col min="77" max="77" width="13" bestFit="1" customWidth="1"/>
    <col min="78" max="78" width="14" bestFit="1" customWidth="1"/>
  </cols>
  <sheetData>
    <row r="2" spans="2:56">
      <c r="B2" t="s">
        <v>1227</v>
      </c>
      <c r="F2" t="s">
        <v>1228</v>
      </c>
      <c r="L2" s="1"/>
      <c r="N2" t="s">
        <v>1229</v>
      </c>
      <c r="V2" t="s">
        <v>1230</v>
      </c>
      <c r="AD2" t="s">
        <v>1231</v>
      </c>
    </row>
    <row r="3" spans="2:56">
      <c r="C3" t="s">
        <v>480</v>
      </c>
      <c r="G3" t="s">
        <v>1232</v>
      </c>
      <c r="H3" t="s">
        <v>1233</v>
      </c>
      <c r="I3" t="s">
        <v>126</v>
      </c>
      <c r="J3" t="s">
        <v>1234</v>
      </c>
      <c r="K3" t="s">
        <v>1235</v>
      </c>
      <c r="O3" t="s">
        <v>1232</v>
      </c>
      <c r="P3" t="s">
        <v>1233</v>
      </c>
      <c r="Q3" t="s">
        <v>126</v>
      </c>
      <c r="R3" t="s">
        <v>1234</v>
      </c>
      <c r="S3" t="s">
        <v>1235</v>
      </c>
      <c r="W3" t="s">
        <v>1232</v>
      </c>
      <c r="X3" t="s">
        <v>1233</v>
      </c>
      <c r="Y3" t="s">
        <v>126</v>
      </c>
      <c r="Z3" t="s">
        <v>1234</v>
      </c>
      <c r="AA3" t="s">
        <v>1235</v>
      </c>
      <c r="AE3" t="s">
        <v>1232</v>
      </c>
      <c r="AF3" t="s">
        <v>1233</v>
      </c>
      <c r="AG3" t="s">
        <v>126</v>
      </c>
      <c r="AH3" t="s">
        <v>1234</v>
      </c>
      <c r="AI3" t="s">
        <v>1235</v>
      </c>
      <c r="AO3">
        <v>1939</v>
      </c>
      <c r="AP3" t="s">
        <v>132</v>
      </c>
      <c r="AQ3" s="10">
        <v>-0.05</v>
      </c>
      <c r="AR3">
        <v>45</v>
      </c>
      <c r="AS3">
        <v>1939</v>
      </c>
      <c r="AT3" t="s">
        <v>179</v>
      </c>
      <c r="AU3" s="10">
        <v>-0.15</v>
      </c>
      <c r="AV3">
        <v>76</v>
      </c>
    </row>
    <row r="4" spans="2:56">
      <c r="B4" t="s">
        <v>1236</v>
      </c>
      <c r="C4">
        <v>12</v>
      </c>
      <c r="F4">
        <v>1945</v>
      </c>
      <c r="G4">
        <v>24</v>
      </c>
      <c r="H4">
        <v>6</v>
      </c>
      <c r="I4">
        <v>12</v>
      </c>
      <c r="J4">
        <v>7</v>
      </c>
      <c r="K4">
        <v>10</v>
      </c>
      <c r="N4">
        <v>1945</v>
      </c>
      <c r="O4">
        <v>32</v>
      </c>
      <c r="P4">
        <v>6</v>
      </c>
      <c r="Q4">
        <v>12</v>
      </c>
      <c r="R4">
        <v>8</v>
      </c>
      <c r="S4">
        <v>7.5</v>
      </c>
      <c r="V4">
        <v>1945</v>
      </c>
      <c r="W4">
        <v>40</v>
      </c>
      <c r="X4">
        <v>9</v>
      </c>
      <c r="Y4">
        <v>6</v>
      </c>
      <c r="Z4">
        <v>9</v>
      </c>
      <c r="AA4">
        <v>5</v>
      </c>
      <c r="AD4">
        <v>1940</v>
      </c>
      <c r="AE4">
        <v>12</v>
      </c>
      <c r="AF4">
        <v>15</v>
      </c>
      <c r="AG4">
        <v>30</v>
      </c>
      <c r="AH4">
        <v>13</v>
      </c>
      <c r="AI4">
        <v>10</v>
      </c>
      <c r="AO4">
        <v>1942</v>
      </c>
      <c r="AP4" t="s">
        <v>137</v>
      </c>
      <c r="AQ4" s="10">
        <v>-0.1</v>
      </c>
      <c r="AR4">
        <v>47</v>
      </c>
      <c r="AS4">
        <v>1942</v>
      </c>
      <c r="AT4" t="s">
        <v>181</v>
      </c>
      <c r="AU4" s="10">
        <v>-0.2</v>
      </c>
      <c r="AV4">
        <v>85</v>
      </c>
      <c r="AW4">
        <v>1942</v>
      </c>
      <c r="AX4" t="s">
        <v>217</v>
      </c>
      <c r="AY4" s="10">
        <v>-0.3</v>
      </c>
      <c r="AZ4">
        <v>122</v>
      </c>
    </row>
    <row r="5" spans="2:56">
      <c r="B5" t="s">
        <v>1237</v>
      </c>
      <c r="C5">
        <v>14</v>
      </c>
      <c r="F5">
        <v>1960</v>
      </c>
      <c r="G5">
        <v>27</v>
      </c>
      <c r="H5">
        <v>8</v>
      </c>
      <c r="I5">
        <v>14</v>
      </c>
      <c r="J5">
        <v>8</v>
      </c>
      <c r="K5">
        <v>12</v>
      </c>
      <c r="N5">
        <v>1960</v>
      </c>
      <c r="O5">
        <v>36</v>
      </c>
      <c r="P5">
        <v>8</v>
      </c>
      <c r="Q5">
        <v>14</v>
      </c>
      <c r="R5">
        <v>10</v>
      </c>
      <c r="S5">
        <v>9</v>
      </c>
      <c r="V5">
        <v>1960</v>
      </c>
      <c r="W5">
        <v>45</v>
      </c>
      <c r="X5">
        <v>12</v>
      </c>
      <c r="Y5">
        <v>7</v>
      </c>
      <c r="Z5">
        <v>11</v>
      </c>
      <c r="AA5">
        <v>6</v>
      </c>
      <c r="AD5">
        <v>1955</v>
      </c>
      <c r="AE5">
        <v>14</v>
      </c>
      <c r="AF5">
        <v>20</v>
      </c>
      <c r="AG5">
        <v>35</v>
      </c>
      <c r="AH5">
        <v>15</v>
      </c>
      <c r="AI5">
        <v>12</v>
      </c>
      <c r="AN5" t="s">
        <v>1238</v>
      </c>
      <c r="AO5">
        <v>1944</v>
      </c>
      <c r="AP5" t="s">
        <v>141</v>
      </c>
      <c r="AQ5" s="10">
        <v>-0.15</v>
      </c>
      <c r="AR5">
        <v>76</v>
      </c>
      <c r="AS5">
        <v>1944</v>
      </c>
      <c r="AT5" t="s">
        <v>183</v>
      </c>
      <c r="AU5" s="10">
        <v>-0.25</v>
      </c>
      <c r="AV5">
        <v>100</v>
      </c>
      <c r="AW5">
        <v>1944</v>
      </c>
      <c r="AX5" t="s">
        <v>218</v>
      </c>
      <c r="AY5" s="10">
        <v>-0.3</v>
      </c>
      <c r="AZ5">
        <v>130</v>
      </c>
    </row>
    <row r="6" spans="2:56">
      <c r="B6" t="s">
        <v>1239</v>
      </c>
      <c r="C6">
        <v>16</v>
      </c>
      <c r="F6">
        <v>1975</v>
      </c>
      <c r="G6">
        <v>33</v>
      </c>
      <c r="H6">
        <v>10</v>
      </c>
      <c r="I6">
        <v>16</v>
      </c>
      <c r="J6">
        <v>10</v>
      </c>
      <c r="K6">
        <v>14</v>
      </c>
      <c r="N6">
        <v>1975</v>
      </c>
      <c r="O6">
        <v>44</v>
      </c>
      <c r="P6">
        <v>10</v>
      </c>
      <c r="Q6">
        <v>16</v>
      </c>
      <c r="R6">
        <v>11</v>
      </c>
      <c r="S6">
        <v>10.5</v>
      </c>
      <c r="V6">
        <v>1975</v>
      </c>
      <c r="W6">
        <v>55</v>
      </c>
      <c r="X6">
        <v>15</v>
      </c>
      <c r="Y6">
        <v>8</v>
      </c>
      <c r="Z6">
        <v>13</v>
      </c>
      <c r="AA6">
        <v>7</v>
      </c>
      <c r="AD6">
        <v>1970</v>
      </c>
      <c r="AE6">
        <v>17</v>
      </c>
      <c r="AF6">
        <v>25</v>
      </c>
      <c r="AG6">
        <v>40</v>
      </c>
      <c r="AH6">
        <v>18</v>
      </c>
      <c r="AI6">
        <v>14</v>
      </c>
      <c r="AL6">
        <v>1950</v>
      </c>
      <c r="AM6" t="s">
        <v>232</v>
      </c>
      <c r="AN6" s="27">
        <v>-0.1</v>
      </c>
      <c r="AO6">
        <v>1950</v>
      </c>
      <c r="AP6" t="s">
        <v>145</v>
      </c>
      <c r="AQ6" s="10">
        <v>-0.15</v>
      </c>
      <c r="AR6">
        <v>76</v>
      </c>
      <c r="AS6" s="15">
        <v>1950</v>
      </c>
      <c r="AT6" s="15" t="s">
        <v>185</v>
      </c>
      <c r="AU6" s="16">
        <v>-0.25</v>
      </c>
      <c r="AV6">
        <v>100</v>
      </c>
      <c r="AW6">
        <v>1950</v>
      </c>
      <c r="AX6" t="s">
        <v>219</v>
      </c>
      <c r="AY6" s="10">
        <v>-0.3</v>
      </c>
      <c r="AZ6">
        <v>130</v>
      </c>
    </row>
    <row r="7" spans="2:56">
      <c r="B7" t="s">
        <v>1240</v>
      </c>
      <c r="C7">
        <v>20</v>
      </c>
      <c r="F7">
        <v>1990</v>
      </c>
      <c r="G7">
        <v>39</v>
      </c>
      <c r="H7">
        <v>12</v>
      </c>
      <c r="I7">
        <v>18</v>
      </c>
      <c r="J7">
        <v>11</v>
      </c>
      <c r="K7">
        <v>16</v>
      </c>
      <c r="N7">
        <v>1990</v>
      </c>
      <c r="O7">
        <v>52</v>
      </c>
      <c r="P7">
        <v>12</v>
      </c>
      <c r="Q7">
        <v>18</v>
      </c>
      <c r="R7">
        <v>13</v>
      </c>
      <c r="S7">
        <v>12</v>
      </c>
      <c r="V7">
        <v>1990</v>
      </c>
      <c r="W7">
        <v>65</v>
      </c>
      <c r="X7">
        <v>18</v>
      </c>
      <c r="Y7">
        <v>9</v>
      </c>
      <c r="Z7">
        <v>14</v>
      </c>
      <c r="AA7">
        <v>8</v>
      </c>
      <c r="AD7">
        <v>1985</v>
      </c>
      <c r="AE7">
        <v>30</v>
      </c>
      <c r="AF7">
        <v>30</v>
      </c>
      <c r="AG7">
        <v>45</v>
      </c>
      <c r="AH7">
        <v>20</v>
      </c>
      <c r="AI7">
        <v>16</v>
      </c>
      <c r="AL7">
        <v>1960</v>
      </c>
      <c r="AM7" s="7" t="s">
        <v>234</v>
      </c>
      <c r="AN7" s="27">
        <v>-0.1</v>
      </c>
      <c r="AO7">
        <v>1960</v>
      </c>
      <c r="AP7" t="s">
        <v>149</v>
      </c>
      <c r="AQ7" s="10">
        <v>-0.2</v>
      </c>
      <c r="AR7">
        <v>90</v>
      </c>
      <c r="AS7" s="8">
        <v>1960</v>
      </c>
      <c r="AT7" s="8" t="s">
        <v>896</v>
      </c>
      <c r="AU7" s="14">
        <v>-0.3</v>
      </c>
      <c r="AV7">
        <v>115</v>
      </c>
      <c r="AW7">
        <v>1955</v>
      </c>
      <c r="AX7" t="s">
        <v>220</v>
      </c>
      <c r="AY7" s="10">
        <v>-0.35</v>
      </c>
      <c r="AZ7">
        <v>130</v>
      </c>
      <c r="BA7">
        <v>1955</v>
      </c>
      <c r="BB7" t="s">
        <v>223</v>
      </c>
      <c r="BC7" s="10">
        <v>-0.4</v>
      </c>
      <c r="BD7">
        <v>183</v>
      </c>
    </row>
    <row r="8" spans="2:56">
      <c r="B8" t="s">
        <v>1241</v>
      </c>
      <c r="C8">
        <v>24</v>
      </c>
      <c r="F8">
        <v>2005</v>
      </c>
      <c r="G8">
        <v>45</v>
      </c>
      <c r="H8">
        <v>14</v>
      </c>
      <c r="I8">
        <v>20</v>
      </c>
      <c r="J8">
        <v>13</v>
      </c>
      <c r="K8">
        <v>18</v>
      </c>
      <c r="N8">
        <v>2005</v>
      </c>
      <c r="O8">
        <v>60</v>
      </c>
      <c r="P8">
        <v>14</v>
      </c>
      <c r="Q8">
        <v>20</v>
      </c>
      <c r="R8">
        <v>14</v>
      </c>
      <c r="S8">
        <v>13.5</v>
      </c>
      <c r="V8">
        <v>2005</v>
      </c>
      <c r="W8">
        <v>75</v>
      </c>
      <c r="X8">
        <v>21</v>
      </c>
      <c r="Y8">
        <v>10</v>
      </c>
      <c r="Z8">
        <v>16</v>
      </c>
      <c r="AA8">
        <v>9</v>
      </c>
      <c r="AD8">
        <v>2000</v>
      </c>
      <c r="AE8">
        <v>46</v>
      </c>
      <c r="AF8">
        <v>35</v>
      </c>
      <c r="AG8">
        <v>50</v>
      </c>
      <c r="AH8">
        <v>23</v>
      </c>
      <c r="AI8">
        <v>18</v>
      </c>
      <c r="AL8">
        <v>1970</v>
      </c>
      <c r="AM8" s="7" t="s">
        <v>235</v>
      </c>
      <c r="AN8" s="27">
        <v>-0.1</v>
      </c>
      <c r="AO8">
        <v>1970</v>
      </c>
      <c r="AP8" t="s">
        <v>155</v>
      </c>
      <c r="AQ8" s="10">
        <v>-0.2</v>
      </c>
      <c r="AR8">
        <v>100</v>
      </c>
      <c r="AS8" s="8">
        <v>1970</v>
      </c>
      <c r="AT8" s="8" t="s">
        <v>900</v>
      </c>
      <c r="AU8" s="14">
        <v>-0.3</v>
      </c>
      <c r="AV8">
        <v>125</v>
      </c>
      <c r="AW8">
        <v>1960</v>
      </c>
      <c r="AX8" t="s">
        <v>225</v>
      </c>
      <c r="AY8" s="27">
        <v>-0.25</v>
      </c>
      <c r="AZ8">
        <v>152</v>
      </c>
    </row>
    <row r="9" spans="2:56">
      <c r="AO9">
        <v>1980</v>
      </c>
      <c r="AP9" t="s">
        <v>159</v>
      </c>
      <c r="AQ9" s="10">
        <v>-0.2</v>
      </c>
      <c r="AR9">
        <v>105</v>
      </c>
      <c r="AS9" s="8">
        <v>1980</v>
      </c>
      <c r="AT9" s="8" t="s">
        <v>904</v>
      </c>
      <c r="AU9" s="14">
        <v>-0.3</v>
      </c>
      <c r="AV9">
        <v>125</v>
      </c>
    </row>
    <row r="10" spans="2:56">
      <c r="AL10">
        <v>1990</v>
      </c>
      <c r="AM10" t="s">
        <v>236</v>
      </c>
      <c r="AN10" s="27">
        <v>-0.1</v>
      </c>
      <c r="AO10">
        <v>1990</v>
      </c>
      <c r="AP10" t="s">
        <v>164</v>
      </c>
      <c r="AQ10" s="10">
        <v>-0.2</v>
      </c>
      <c r="AR10">
        <v>105</v>
      </c>
      <c r="AS10" s="8">
        <v>1990</v>
      </c>
      <c r="AT10" s="9" t="s">
        <v>908</v>
      </c>
      <c r="AU10" s="14">
        <v>-0.3</v>
      </c>
      <c r="AV10">
        <v>125</v>
      </c>
      <c r="AW10">
        <v>1990</v>
      </c>
      <c r="AX10" t="s">
        <v>228</v>
      </c>
      <c r="AY10" s="27">
        <v>-0.4</v>
      </c>
      <c r="AZ10">
        <v>152</v>
      </c>
    </row>
    <row r="11" spans="2:56">
      <c r="B11" t="s">
        <v>1216</v>
      </c>
      <c r="F11" t="s">
        <v>68</v>
      </c>
      <c r="AO11">
        <v>2005</v>
      </c>
      <c r="AP11" t="s">
        <v>169</v>
      </c>
      <c r="AQ11" s="10">
        <v>-0.2</v>
      </c>
      <c r="AR11">
        <v>105</v>
      </c>
      <c r="AS11" s="8">
        <v>2005</v>
      </c>
      <c r="AT11" s="9" t="s">
        <v>912</v>
      </c>
      <c r="AU11" s="14">
        <v>-0.3</v>
      </c>
      <c r="AV11">
        <v>125</v>
      </c>
      <c r="AW11">
        <v>2000</v>
      </c>
      <c r="AX11" t="s">
        <v>229</v>
      </c>
      <c r="AY11" s="27">
        <v>-0.35</v>
      </c>
      <c r="AZ11">
        <v>152</v>
      </c>
    </row>
    <row r="12" spans="2:56">
      <c r="C12" t="s">
        <v>480</v>
      </c>
      <c r="G12" t="s">
        <v>1232</v>
      </c>
      <c r="H12" t="s">
        <v>1233</v>
      </c>
      <c r="I12" t="s">
        <v>126</v>
      </c>
      <c r="AO12">
        <v>2015</v>
      </c>
      <c r="AP12" t="s">
        <v>174</v>
      </c>
      <c r="AQ12" s="10">
        <v>-0.2</v>
      </c>
      <c r="AR12">
        <v>105</v>
      </c>
      <c r="AS12" s="8">
        <v>2015</v>
      </c>
      <c r="AT12" s="9" t="s">
        <v>916</v>
      </c>
      <c r="AU12" s="14">
        <v>-0.3</v>
      </c>
      <c r="AV12">
        <v>130</v>
      </c>
      <c r="AW12">
        <v>2010</v>
      </c>
      <c r="AX12" t="s">
        <v>230</v>
      </c>
      <c r="AY12" s="27">
        <v>-0.35</v>
      </c>
      <c r="AZ12">
        <v>152</v>
      </c>
    </row>
    <row r="13" spans="2:56">
      <c r="B13">
        <v>1955</v>
      </c>
      <c r="C13">
        <v>35</v>
      </c>
      <c r="F13">
        <v>1965</v>
      </c>
      <c r="G13">
        <v>12</v>
      </c>
      <c r="H13">
        <v>8</v>
      </c>
      <c r="I13">
        <v>24</v>
      </c>
    </row>
    <row r="14" spans="2:56">
      <c r="B14">
        <v>1965</v>
      </c>
      <c r="C14">
        <v>45</v>
      </c>
      <c r="F14">
        <v>1975</v>
      </c>
      <c r="G14">
        <v>12</v>
      </c>
      <c r="H14">
        <v>8</v>
      </c>
      <c r="I14">
        <v>26</v>
      </c>
    </row>
    <row r="15" spans="2:56">
      <c r="B15">
        <v>1975</v>
      </c>
      <c r="C15">
        <v>60</v>
      </c>
      <c r="F15">
        <v>1985</v>
      </c>
      <c r="G15">
        <v>12</v>
      </c>
      <c r="H15">
        <v>8</v>
      </c>
      <c r="I15">
        <v>30</v>
      </c>
    </row>
    <row r="16" spans="2:56">
      <c r="B16">
        <v>1985</v>
      </c>
      <c r="C16">
        <v>75</v>
      </c>
      <c r="F16">
        <v>1995</v>
      </c>
      <c r="G16">
        <v>14</v>
      </c>
      <c r="H16">
        <v>9</v>
      </c>
      <c r="I16">
        <v>32</v>
      </c>
    </row>
    <row r="17" spans="2:57">
      <c r="B17">
        <v>1995</v>
      </c>
      <c r="C17">
        <v>90</v>
      </c>
      <c r="F17">
        <v>2005</v>
      </c>
      <c r="G17">
        <v>14</v>
      </c>
      <c r="H17">
        <v>9</v>
      </c>
      <c r="I17">
        <v>34</v>
      </c>
    </row>
    <row r="18" spans="2:57">
      <c r="B18">
        <v>2005</v>
      </c>
      <c r="C18">
        <v>105</v>
      </c>
    </row>
    <row r="24" spans="2:57">
      <c r="AO24">
        <v>1960</v>
      </c>
      <c r="AP24" t="s">
        <v>920</v>
      </c>
      <c r="AQ24" s="10">
        <v>-0.3</v>
      </c>
      <c r="AX24" t="s">
        <v>1242</v>
      </c>
    </row>
    <row r="25" spans="2:57">
      <c r="AO25">
        <v>1970</v>
      </c>
      <c r="AP25" t="s">
        <v>923</v>
      </c>
      <c r="AQ25" s="10">
        <v>-0.3</v>
      </c>
      <c r="AY25" t="s">
        <v>1243</v>
      </c>
      <c r="AZ25" t="s">
        <v>248</v>
      </c>
      <c r="BA25" t="s">
        <v>1244</v>
      </c>
      <c r="BB25" t="s">
        <v>1245</v>
      </c>
      <c r="BC25" t="s">
        <v>1246</v>
      </c>
      <c r="BD25" t="s">
        <v>1247</v>
      </c>
      <c r="BE25" t="s">
        <v>1248</v>
      </c>
    </row>
    <row r="26" spans="2:57">
      <c r="AO26">
        <v>1980</v>
      </c>
      <c r="AP26" t="s">
        <v>926</v>
      </c>
      <c r="AQ26" s="10">
        <v>-0.3</v>
      </c>
      <c r="AX26" t="s">
        <v>1249</v>
      </c>
      <c r="AY26" s="22">
        <v>0.2</v>
      </c>
      <c r="AZ26">
        <v>1.2</v>
      </c>
      <c r="BA26" s="27">
        <v>-0.05</v>
      </c>
      <c r="BB26" s="28">
        <v>8.5000000000000006E-2</v>
      </c>
      <c r="BC26" s="28">
        <v>-1.4999999999999999E-2</v>
      </c>
      <c r="BD26">
        <v>0.2</v>
      </c>
    </row>
    <row r="27" spans="2:57">
      <c r="AO27">
        <v>1990</v>
      </c>
      <c r="AP27" t="s">
        <v>929</v>
      </c>
      <c r="AQ27" s="10">
        <v>-0.3</v>
      </c>
      <c r="AX27" t="s">
        <v>1250</v>
      </c>
      <c r="AY27">
        <v>0.1</v>
      </c>
      <c r="AZ27" t="s">
        <v>1251</v>
      </c>
      <c r="BA27" s="27">
        <v>0.1</v>
      </c>
      <c r="BB27" t="s">
        <v>1251</v>
      </c>
      <c r="BC27" s="28">
        <v>-1.4999999999999999E-2</v>
      </c>
      <c r="BD27">
        <v>0.1</v>
      </c>
      <c r="BE27">
        <v>0.05</v>
      </c>
    </row>
    <row r="28" spans="2:57">
      <c r="AO28">
        <v>2005</v>
      </c>
      <c r="AP28" t="s">
        <v>932</v>
      </c>
      <c r="AQ28" s="10">
        <v>-0.3</v>
      </c>
    </row>
    <row r="29" spans="2:57">
      <c r="AO29">
        <v>2015</v>
      </c>
      <c r="AP29" t="s">
        <v>935</v>
      </c>
      <c r="AQ29" s="10">
        <v>-0.3</v>
      </c>
      <c r="AX29" t="s">
        <v>1252</v>
      </c>
      <c r="AZ29">
        <f>AZ26*25</f>
        <v>30</v>
      </c>
      <c r="BA29" s="27">
        <f>BA26*25</f>
        <v>-1.25</v>
      </c>
      <c r="BB29" s="28">
        <f>BB26*25</f>
        <v>2.125</v>
      </c>
      <c r="BC29" s="28">
        <f>BC26*25</f>
        <v>-0.375</v>
      </c>
      <c r="BD29">
        <f>BD26*25</f>
        <v>5</v>
      </c>
    </row>
    <row r="30" spans="2:57">
      <c r="AX30" t="s">
        <v>1253</v>
      </c>
      <c r="AZ30" t="s">
        <v>1251</v>
      </c>
      <c r="BA30" s="27">
        <f>BA27*25</f>
        <v>2.5</v>
      </c>
      <c r="BB30" t="s">
        <v>1251</v>
      </c>
      <c r="BC30" s="28">
        <f>BC27*25</f>
        <v>-0.375</v>
      </c>
      <c r="BD30">
        <f>BD27*25</f>
        <v>2.5</v>
      </c>
      <c r="BE30">
        <f>BE27*25</f>
        <v>1.25</v>
      </c>
    </row>
    <row r="31" spans="2:57">
      <c r="BB31">
        <v>25</v>
      </c>
    </row>
    <row r="33" spans="42:81">
      <c r="AX33" t="s">
        <v>1254</v>
      </c>
    </row>
    <row r="34" spans="42:81">
      <c r="AY34" t="s">
        <v>1243</v>
      </c>
      <c r="AZ34" t="s">
        <v>248</v>
      </c>
      <c r="BA34" t="s">
        <v>1244</v>
      </c>
      <c r="BB34" t="s">
        <v>8</v>
      </c>
      <c r="BC34" t="s">
        <v>1246</v>
      </c>
      <c r="BD34" t="s">
        <v>1247</v>
      </c>
      <c r="BE34" t="s">
        <v>1248</v>
      </c>
    </row>
    <row r="35" spans="42:81">
      <c r="AP35" t="s">
        <v>471</v>
      </c>
      <c r="AQ35" t="s">
        <v>1255</v>
      </c>
      <c r="AR35">
        <v>1950</v>
      </c>
      <c r="AS35" t="s">
        <v>1256</v>
      </c>
      <c r="AT35" t="s">
        <v>1257</v>
      </c>
      <c r="AX35" t="s">
        <v>1249</v>
      </c>
      <c r="AY35" s="22">
        <v>0.2</v>
      </c>
      <c r="AZ35">
        <v>1.2</v>
      </c>
      <c r="BA35" s="27">
        <v>-0.05</v>
      </c>
      <c r="BB35" s="57">
        <v>25</v>
      </c>
      <c r="BC35" s="28">
        <v>-0.03</v>
      </c>
      <c r="BD35">
        <v>0.2</v>
      </c>
    </row>
    <row r="36" spans="42:81">
      <c r="AP36" t="s">
        <v>66</v>
      </c>
      <c r="AQ36">
        <v>2.5</v>
      </c>
      <c r="AR36">
        <v>3.7</v>
      </c>
      <c r="AS36">
        <v>6.1</v>
      </c>
      <c r="AT36">
        <v>10</v>
      </c>
      <c r="AX36" t="s">
        <v>1250</v>
      </c>
      <c r="AY36">
        <v>0.1</v>
      </c>
      <c r="AZ36" t="s">
        <v>1251</v>
      </c>
      <c r="BA36" s="27">
        <v>0.1</v>
      </c>
      <c r="BB36" t="s">
        <v>1251</v>
      </c>
      <c r="BC36" s="28">
        <v>-1.4999999999999999E-2</v>
      </c>
      <c r="BD36">
        <v>0.1</v>
      </c>
      <c r="BE36">
        <v>0.05</v>
      </c>
    </row>
    <row r="37" spans="42:81">
      <c r="AP37" t="s">
        <v>82</v>
      </c>
      <c r="AQ37">
        <v>5</v>
      </c>
      <c r="AR37">
        <v>7.25</v>
      </c>
      <c r="AS37">
        <v>11.75</v>
      </c>
      <c r="AT37">
        <v>10</v>
      </c>
    </row>
    <row r="38" spans="42:81">
      <c r="AP38" t="s">
        <v>93</v>
      </c>
      <c r="AQ38">
        <v>9</v>
      </c>
      <c r="AR38">
        <v>12</v>
      </c>
      <c r="AS38">
        <v>13</v>
      </c>
      <c r="AT38">
        <v>5</v>
      </c>
      <c r="AX38" t="s">
        <v>1252</v>
      </c>
      <c r="AZ38">
        <f>AZ35*25</f>
        <v>30</v>
      </c>
      <c r="BA38" s="27">
        <f>BA35*25</f>
        <v>-1.25</v>
      </c>
      <c r="BB38" s="57">
        <f>BB35*25</f>
        <v>625</v>
      </c>
      <c r="BC38" s="28">
        <f>BC35*25</f>
        <v>-0.75</v>
      </c>
      <c r="BD38">
        <f>BD35*25</f>
        <v>5</v>
      </c>
      <c r="BV38" t="s">
        <v>1258</v>
      </c>
      <c r="BW38" t="s">
        <v>1259</v>
      </c>
      <c r="BX38" t="s">
        <v>1260</v>
      </c>
      <c r="BY38" t="s">
        <v>1261</v>
      </c>
      <c r="BZ38" t="s">
        <v>8</v>
      </c>
      <c r="CA38" t="s">
        <v>1262</v>
      </c>
      <c r="CB38" t="s">
        <v>1263</v>
      </c>
      <c r="CC38" t="s">
        <v>1264</v>
      </c>
    </row>
    <row r="39" spans="42:81">
      <c r="AX39" t="s">
        <v>1253</v>
      </c>
      <c r="AZ39" t="s">
        <v>1251</v>
      </c>
      <c r="BA39" s="27">
        <f>BA36*25</f>
        <v>2.5</v>
      </c>
      <c r="BB39" t="s">
        <v>1251</v>
      </c>
      <c r="BC39" s="28">
        <f>BC36*25</f>
        <v>-0.375</v>
      </c>
      <c r="BD39">
        <f>BD36*25</f>
        <v>2.5</v>
      </c>
      <c r="BE39">
        <f>BE36*25</f>
        <v>1.25</v>
      </c>
      <c r="BZ39" t="s">
        <v>1265</v>
      </c>
    </row>
    <row r="40" spans="42:81">
      <c r="BB40">
        <v>25</v>
      </c>
      <c r="BL40" t="s">
        <v>1266</v>
      </c>
      <c r="BN40" t="s">
        <v>1267</v>
      </c>
      <c r="BP40" t="s">
        <v>1268</v>
      </c>
      <c r="BR40" t="s">
        <v>1269</v>
      </c>
    </row>
    <row r="41" spans="42:81">
      <c r="BK41">
        <v>1939</v>
      </c>
      <c r="BL41" t="s">
        <v>1270</v>
      </c>
      <c r="BM41">
        <f>(90+60)/2</f>
        <v>75</v>
      </c>
      <c r="BN41" t="s">
        <v>1271</v>
      </c>
      <c r="BO41">
        <f>(59+56)/2</f>
        <v>57.5</v>
      </c>
      <c r="BR41" t="s">
        <v>1272</v>
      </c>
      <c r="BS41">
        <v>30</v>
      </c>
    </row>
    <row r="42" spans="42:81">
      <c r="AX42" t="s">
        <v>1273</v>
      </c>
      <c r="BE42">
        <v>20</v>
      </c>
      <c r="BL42" t="s">
        <v>1274</v>
      </c>
      <c r="BM42">
        <f>(90+100)/2</f>
        <v>95</v>
      </c>
      <c r="BR42" t="s">
        <v>1275</v>
      </c>
      <c r="BS42" s="11" t="s">
        <v>1276</v>
      </c>
    </row>
    <row r="43" spans="42:81">
      <c r="AX43" t="s">
        <v>1262</v>
      </c>
      <c r="AY43" s="27">
        <v>0.1</v>
      </c>
      <c r="BD43">
        <v>50</v>
      </c>
      <c r="BE43" s="59">
        <f>BE42/BD43</f>
        <v>0.4</v>
      </c>
    </row>
    <row r="44" spans="42:81">
      <c r="AP44" t="s">
        <v>8</v>
      </c>
      <c r="AQ44">
        <v>0</v>
      </c>
      <c r="AR44">
        <v>0</v>
      </c>
      <c r="AS44">
        <v>5.25</v>
      </c>
      <c r="AT44">
        <v>14</v>
      </c>
      <c r="AX44" t="s">
        <v>1277</v>
      </c>
      <c r="AY44" s="28">
        <v>7.4999999999999997E-2</v>
      </c>
      <c r="BK44">
        <v>1942</v>
      </c>
      <c r="BN44" t="s">
        <v>1278</v>
      </c>
      <c r="BO44">
        <f>(90+80)/2</f>
        <v>85</v>
      </c>
      <c r="BR44" t="s">
        <v>1279</v>
      </c>
      <c r="BS44">
        <v>121</v>
      </c>
      <c r="BV44">
        <v>1960</v>
      </c>
      <c r="BW44">
        <v>1961</v>
      </c>
      <c r="BX44" t="s">
        <v>1266</v>
      </c>
      <c r="BY44" t="s">
        <v>1280</v>
      </c>
      <c r="BZ44" t="s">
        <v>1265</v>
      </c>
      <c r="CA44">
        <v>205</v>
      </c>
      <c r="CB44">
        <v>240</v>
      </c>
      <c r="CC44">
        <f>(CA44+CB44)/2</f>
        <v>222.5</v>
      </c>
    </row>
    <row r="45" spans="42:81">
      <c r="AP45" t="s">
        <v>1281</v>
      </c>
      <c r="AQ45">
        <v>1.5</v>
      </c>
      <c r="AR45" t="s">
        <v>1251</v>
      </c>
      <c r="AS45">
        <v>2.5</v>
      </c>
      <c r="AT45">
        <v>5</v>
      </c>
      <c r="AX45" t="s">
        <v>8</v>
      </c>
      <c r="AY45" s="27">
        <v>0.2</v>
      </c>
      <c r="BV45">
        <v>1960</v>
      </c>
      <c r="BW45">
        <v>1963</v>
      </c>
      <c r="BX45" t="s">
        <v>1266</v>
      </c>
      <c r="BY45" t="s">
        <v>1282</v>
      </c>
      <c r="BZ45" t="s">
        <v>1283</v>
      </c>
      <c r="CC45">
        <f t="shared" ref="CC45:CC46" si="0">(CA45+CB45)/2</f>
        <v>0</v>
      </c>
    </row>
    <row r="46" spans="42:81">
      <c r="AP46" t="s">
        <v>1284</v>
      </c>
      <c r="AQ46">
        <v>1.25</v>
      </c>
      <c r="AR46" t="s">
        <v>1251</v>
      </c>
      <c r="AS46">
        <v>1.75</v>
      </c>
      <c r="AT46">
        <v>2</v>
      </c>
      <c r="AX46" t="s">
        <v>1285</v>
      </c>
      <c r="AY46" s="27">
        <v>0.1</v>
      </c>
      <c r="BK46">
        <v>1944</v>
      </c>
      <c r="BL46" t="s">
        <v>1286</v>
      </c>
      <c r="BM46">
        <f>(180+120)/2</f>
        <v>150</v>
      </c>
      <c r="BN46" t="s">
        <v>1287</v>
      </c>
      <c r="BO46">
        <f>(165+135)/2</f>
        <v>150</v>
      </c>
      <c r="BV46">
        <v>1960</v>
      </c>
      <c r="BX46" t="s">
        <v>1266</v>
      </c>
      <c r="BY46" t="s">
        <v>1288</v>
      </c>
      <c r="BZ46" t="s">
        <v>1289</v>
      </c>
      <c r="CA46">
        <v>333</v>
      </c>
      <c r="CB46">
        <v>400</v>
      </c>
      <c r="CC46">
        <f t="shared" si="0"/>
        <v>366.5</v>
      </c>
    </row>
    <row r="47" spans="42:81">
      <c r="AX47" t="s">
        <v>1290</v>
      </c>
      <c r="AY47" s="27">
        <v>0.15</v>
      </c>
      <c r="BW47">
        <v>1976</v>
      </c>
      <c r="BX47" t="s">
        <v>1266</v>
      </c>
      <c r="BY47" t="s">
        <v>1291</v>
      </c>
      <c r="BZ47" t="s">
        <v>1289</v>
      </c>
    </row>
    <row r="48" spans="42:81">
      <c r="AP48" t="s">
        <v>1292</v>
      </c>
      <c r="AQ48">
        <v>1</v>
      </c>
      <c r="AR48" t="s">
        <v>1251</v>
      </c>
      <c r="AS48">
        <v>3.25</v>
      </c>
      <c r="AT48">
        <v>5</v>
      </c>
      <c r="AX48" t="s">
        <v>1293</v>
      </c>
      <c r="AY48" s="27">
        <v>0.25</v>
      </c>
      <c r="BK48">
        <v>1950</v>
      </c>
      <c r="BL48" t="s">
        <v>1294</v>
      </c>
      <c r="BM48">
        <f>(200+200)/2</f>
        <v>200</v>
      </c>
      <c r="BN48" t="s">
        <v>1295</v>
      </c>
      <c r="BO48">
        <f>(190+210)/2</f>
        <v>200</v>
      </c>
    </row>
    <row r="49" spans="42:81">
      <c r="AP49" t="s">
        <v>1296</v>
      </c>
      <c r="AQ49">
        <v>0.5</v>
      </c>
      <c r="AR49">
        <v>1</v>
      </c>
      <c r="AS49">
        <v>2.75</v>
      </c>
      <c r="AT49">
        <v>6</v>
      </c>
      <c r="AX49" t="s">
        <v>237</v>
      </c>
      <c r="AY49" s="27">
        <v>0.05</v>
      </c>
      <c r="AZ49" s="28">
        <v>7.4999999999999997E-2</v>
      </c>
      <c r="BV49">
        <v>1970</v>
      </c>
      <c r="BW49">
        <v>1973</v>
      </c>
      <c r="BX49" t="s">
        <v>1266</v>
      </c>
      <c r="BY49" t="s">
        <v>1297</v>
      </c>
      <c r="BZ49" t="s">
        <v>1289</v>
      </c>
      <c r="CA49">
        <v>305</v>
      </c>
      <c r="CB49">
        <v>380</v>
      </c>
      <c r="CC49">
        <f>(CB49+CA49)/2</f>
        <v>342.5</v>
      </c>
    </row>
    <row r="50" spans="42:81">
      <c r="AX50" t="s">
        <v>1298</v>
      </c>
      <c r="AY50" s="28">
        <v>7.4999999999999997E-2</v>
      </c>
      <c r="BK50">
        <v>1960</v>
      </c>
      <c r="BL50" t="s">
        <v>1280</v>
      </c>
      <c r="BM50">
        <f>(205+240)/2</f>
        <v>222.5</v>
      </c>
      <c r="BN50" t="s">
        <v>1299</v>
      </c>
      <c r="BO50">
        <f>(230+170)/2</f>
        <v>200</v>
      </c>
      <c r="BP50" t="s">
        <v>1300</v>
      </c>
      <c r="BQ50">
        <f>(130+150)/2</f>
        <v>140</v>
      </c>
      <c r="BR50" t="s">
        <v>1301</v>
      </c>
      <c r="BS50">
        <f>(130+160)/2</f>
        <v>145</v>
      </c>
      <c r="BV50">
        <v>1970</v>
      </c>
      <c r="BW50">
        <v>1979</v>
      </c>
      <c r="BX50" t="s">
        <v>1266</v>
      </c>
      <c r="BY50" t="s">
        <v>1302</v>
      </c>
      <c r="BZ50" t="s">
        <v>1289</v>
      </c>
      <c r="CC50">
        <f t="shared" ref="CC50:CC53" si="1">(CA50+CB50)/2</f>
        <v>0</v>
      </c>
    </row>
    <row r="51" spans="42:81">
      <c r="AP51" t="s">
        <v>1303</v>
      </c>
      <c r="AQ51">
        <v>5</v>
      </c>
      <c r="AR51" t="s">
        <v>1251</v>
      </c>
      <c r="AS51">
        <v>6.5</v>
      </c>
      <c r="AT51">
        <v>4</v>
      </c>
      <c r="BL51" t="s">
        <v>1282</v>
      </c>
      <c r="BM51">
        <f>(333+400)/2</f>
        <v>366.5</v>
      </c>
      <c r="BV51">
        <v>1970</v>
      </c>
      <c r="BW51">
        <v>1984</v>
      </c>
      <c r="BX51" t="s">
        <v>1266</v>
      </c>
      <c r="BY51" t="s">
        <v>1304</v>
      </c>
      <c r="CC51">
        <f t="shared" si="1"/>
        <v>0</v>
      </c>
    </row>
    <row r="52" spans="42:81">
      <c r="AP52" t="s">
        <v>1305</v>
      </c>
      <c r="AQ52">
        <v>1.5</v>
      </c>
      <c r="AR52" t="s">
        <v>1251</v>
      </c>
      <c r="AS52">
        <v>3</v>
      </c>
      <c r="AT52">
        <v>2</v>
      </c>
      <c r="AX52" t="s">
        <v>1306</v>
      </c>
    </row>
    <row r="53" spans="42:81">
      <c r="AX53" t="s">
        <v>1262</v>
      </c>
      <c r="AY53" s="27">
        <v>0.35</v>
      </c>
      <c r="BC53">
        <v>8</v>
      </c>
      <c r="BD53" s="60">
        <f>BC53/(BC53+BC54+BC55+BC56+BC57+BC58+BC59)*100</f>
        <v>47.058823529411761</v>
      </c>
      <c r="BG53">
        <f>50*(1+(0.085*20))</f>
        <v>135</v>
      </c>
      <c r="BK53">
        <v>1970</v>
      </c>
      <c r="BL53" t="s">
        <v>1297</v>
      </c>
      <c r="BM53">
        <f>(380+305)/2</f>
        <v>342.5</v>
      </c>
      <c r="BN53" t="s">
        <v>1307</v>
      </c>
      <c r="BO53">
        <f>(400+420)/2</f>
        <v>410</v>
      </c>
      <c r="BV53">
        <v>1970</v>
      </c>
      <c r="BW53">
        <v>1985</v>
      </c>
      <c r="BX53" t="s">
        <v>1266</v>
      </c>
      <c r="BY53" t="s">
        <v>1308</v>
      </c>
      <c r="BZ53" t="s">
        <v>1309</v>
      </c>
      <c r="CA53">
        <v>750</v>
      </c>
      <c r="CB53">
        <v>840</v>
      </c>
      <c r="CC53">
        <f t="shared" si="1"/>
        <v>795</v>
      </c>
    </row>
    <row r="54" spans="42:81">
      <c r="AP54" t="s">
        <v>1310</v>
      </c>
      <c r="AQ54">
        <v>1</v>
      </c>
      <c r="AR54">
        <v>1.5</v>
      </c>
      <c r="AS54">
        <v>2</v>
      </c>
      <c r="AT54">
        <v>3</v>
      </c>
      <c r="AX54" t="s">
        <v>1277</v>
      </c>
      <c r="AY54" s="27">
        <v>0.1</v>
      </c>
      <c r="BC54">
        <v>4.5999999999999996</v>
      </c>
      <c r="BD54" s="60">
        <f>BC54/(BC53+BC54+BC55+BC56+BC57+BC58+BC59)*100</f>
        <v>27.058823529411764</v>
      </c>
      <c r="BL54" t="s">
        <v>1311</v>
      </c>
      <c r="BM54">
        <f>(400+520)/2</f>
        <v>460</v>
      </c>
    </row>
    <row r="55" spans="42:81">
      <c r="AX55" t="s">
        <v>8</v>
      </c>
      <c r="BL55" t="s">
        <v>1312</v>
      </c>
      <c r="BM55">
        <f>(350+500)/2</f>
        <v>425</v>
      </c>
    </row>
    <row r="56" spans="42:81">
      <c r="AP56" t="s">
        <v>1313</v>
      </c>
      <c r="AQ56">
        <v>1</v>
      </c>
      <c r="AR56">
        <v>3</v>
      </c>
      <c r="AS56">
        <v>6.5</v>
      </c>
      <c r="AT56">
        <v>11</v>
      </c>
      <c r="AX56" t="s">
        <v>1285</v>
      </c>
      <c r="AY56" s="27">
        <v>0.1</v>
      </c>
      <c r="BC56">
        <v>1.8</v>
      </c>
    </row>
    <row r="57" spans="42:81">
      <c r="AX57" t="s">
        <v>1290</v>
      </c>
      <c r="AY57" s="27">
        <v>0.2</v>
      </c>
      <c r="BC57">
        <v>2.6</v>
      </c>
      <c r="BK57">
        <v>1980</v>
      </c>
      <c r="BN57" t="s">
        <v>1314</v>
      </c>
      <c r="BO57">
        <f>(385+550)/2</f>
        <v>467.5</v>
      </c>
      <c r="BV57">
        <v>1960</v>
      </c>
      <c r="BW57">
        <v>1960</v>
      </c>
      <c r="BX57" t="s">
        <v>1315</v>
      </c>
      <c r="BY57" t="s">
        <v>1299</v>
      </c>
      <c r="BZ57" t="s">
        <v>1265</v>
      </c>
      <c r="CA57">
        <v>200</v>
      </c>
      <c r="CB57">
        <v>200</v>
      </c>
      <c r="CC57">
        <f t="shared" ref="CC57:CC59" si="2">(CA57+CB57)/2</f>
        <v>200</v>
      </c>
    </row>
    <row r="58" spans="42:81">
      <c r="AP58" t="s">
        <v>1316</v>
      </c>
      <c r="AQ58">
        <v>2.5</v>
      </c>
      <c r="AR58">
        <v>3.5</v>
      </c>
      <c r="AS58">
        <v>4.5</v>
      </c>
      <c r="AT58">
        <v>3</v>
      </c>
      <c r="AX58" t="s">
        <v>1293</v>
      </c>
      <c r="AY58" s="27">
        <v>0.05</v>
      </c>
      <c r="BN58" t="s">
        <v>1317</v>
      </c>
      <c r="BO58">
        <f>(475+550)/2</f>
        <v>512.5</v>
      </c>
      <c r="CC58">
        <f t="shared" si="2"/>
        <v>0</v>
      </c>
    </row>
    <row r="59" spans="42:81">
      <c r="AX59" t="s">
        <v>237</v>
      </c>
      <c r="AY59" s="27">
        <v>0.05</v>
      </c>
      <c r="BN59" t="s">
        <v>1318</v>
      </c>
      <c r="BO59">
        <f>(575+640)/2</f>
        <v>607.5</v>
      </c>
      <c r="BV59">
        <v>1970</v>
      </c>
      <c r="BW59" s="11" t="s">
        <v>1319</v>
      </c>
      <c r="BX59" t="s">
        <v>1315</v>
      </c>
      <c r="BY59" t="s">
        <v>1307</v>
      </c>
      <c r="BZ59" t="s">
        <v>1320</v>
      </c>
      <c r="CA59">
        <v>400</v>
      </c>
      <c r="CB59">
        <v>420</v>
      </c>
      <c r="CC59">
        <f t="shared" si="2"/>
        <v>410</v>
      </c>
    </row>
    <row r="60" spans="42:81">
      <c r="AP60" t="s">
        <v>1321</v>
      </c>
      <c r="AQ60">
        <v>0</v>
      </c>
      <c r="AR60">
        <v>2.4</v>
      </c>
      <c r="AS60">
        <v>6</v>
      </c>
      <c r="AT60">
        <v>6</v>
      </c>
      <c r="BV60">
        <v>1980</v>
      </c>
      <c r="BW60">
        <v>1980</v>
      </c>
      <c r="BX60" t="s">
        <v>1315</v>
      </c>
      <c r="BY60" t="s">
        <v>1314</v>
      </c>
      <c r="BZ60" t="s">
        <v>1322</v>
      </c>
    </row>
    <row r="61" spans="42:81">
      <c r="AP61" t="s">
        <v>1323</v>
      </c>
      <c r="AQ61">
        <v>0.5</v>
      </c>
      <c r="AR61">
        <v>3</v>
      </c>
      <c r="AS61">
        <v>6.6</v>
      </c>
      <c r="AT61">
        <v>5</v>
      </c>
      <c r="BK61">
        <v>1990</v>
      </c>
      <c r="BO61" t="s">
        <v>1324</v>
      </c>
      <c r="BV61">
        <v>1980</v>
      </c>
      <c r="BY61" t="s">
        <v>1317</v>
      </c>
    </row>
    <row r="62" spans="42:81">
      <c r="BV62">
        <v>1980</v>
      </c>
      <c r="BY62" t="s">
        <v>1318</v>
      </c>
    </row>
    <row r="63" spans="42:81">
      <c r="AP63" t="s">
        <v>1325</v>
      </c>
      <c r="AQ63">
        <v>0.5</v>
      </c>
      <c r="AR63">
        <v>1.5</v>
      </c>
      <c r="AS63">
        <v>6.25</v>
      </c>
      <c r="AT63">
        <v>8</v>
      </c>
      <c r="BK63">
        <v>2000</v>
      </c>
      <c r="BO63" t="s">
        <v>1324</v>
      </c>
      <c r="BV63">
        <v>1980</v>
      </c>
      <c r="BW63">
        <v>1990</v>
      </c>
      <c r="BY63" t="s">
        <v>1326</v>
      </c>
    </row>
    <row r="64" spans="42:81">
      <c r="AP64" t="s">
        <v>1327</v>
      </c>
      <c r="AQ64">
        <v>0.5</v>
      </c>
      <c r="AR64" t="s">
        <v>1251</v>
      </c>
      <c r="AS64">
        <v>9</v>
      </c>
      <c r="AT64">
        <v>6</v>
      </c>
      <c r="BV64">
        <v>1980</v>
      </c>
      <c r="BW64">
        <v>1992</v>
      </c>
      <c r="BY64" t="s">
        <v>1328</v>
      </c>
    </row>
    <row r="65" spans="42:81">
      <c r="AP65" t="s">
        <v>1329</v>
      </c>
      <c r="AQ65">
        <v>0.5</v>
      </c>
      <c r="AR65" t="s">
        <v>1251</v>
      </c>
      <c r="AS65">
        <v>8</v>
      </c>
      <c r="AT65">
        <v>2</v>
      </c>
      <c r="BK65">
        <v>2010</v>
      </c>
      <c r="BO65" t="s">
        <v>1324</v>
      </c>
    </row>
    <row r="66" spans="42:81">
      <c r="AP66" t="s">
        <v>1330</v>
      </c>
      <c r="AQ66">
        <v>2</v>
      </c>
      <c r="AR66" t="s">
        <v>1251</v>
      </c>
      <c r="AS66">
        <v>4</v>
      </c>
      <c r="AT66">
        <v>3</v>
      </c>
    </row>
    <row r="67" spans="42:81">
      <c r="BV67">
        <v>1960</v>
      </c>
      <c r="BW67">
        <v>1965</v>
      </c>
      <c r="BX67" t="s">
        <v>1331</v>
      </c>
      <c r="BY67" t="s">
        <v>1301</v>
      </c>
      <c r="BZ67" t="s">
        <v>1265</v>
      </c>
      <c r="CA67">
        <v>130</v>
      </c>
      <c r="CB67">
        <v>160</v>
      </c>
      <c r="CC67">
        <f t="shared" ref="CC67" si="3">(CA67+CB67)/2</f>
        <v>145</v>
      </c>
    </row>
    <row r="68" spans="42:81">
      <c r="AP68" t="s">
        <v>1332</v>
      </c>
      <c r="AQ68">
        <v>3</v>
      </c>
      <c r="AR68" t="s">
        <v>1251</v>
      </c>
      <c r="AS68">
        <v>7.5</v>
      </c>
      <c r="AT68">
        <v>7</v>
      </c>
    </row>
    <row r="69" spans="42:81">
      <c r="AP69" t="s">
        <v>1333</v>
      </c>
      <c r="AQ69">
        <v>5.25</v>
      </c>
      <c r="AR69" t="s">
        <v>1251</v>
      </c>
      <c r="AS69">
        <v>7.5</v>
      </c>
      <c r="AT69">
        <v>4</v>
      </c>
    </row>
    <row r="70" spans="42:81">
      <c r="AP70" t="s">
        <v>1334</v>
      </c>
      <c r="AQ70">
        <v>4</v>
      </c>
      <c r="AR70" t="s">
        <v>1251</v>
      </c>
      <c r="AS70">
        <v>8.5</v>
      </c>
      <c r="AT70">
        <v>7</v>
      </c>
    </row>
    <row r="71" spans="42:81">
      <c r="BV71">
        <v>1970</v>
      </c>
      <c r="BW71" s="11" t="s">
        <v>1319</v>
      </c>
      <c r="BX71" t="s">
        <v>1331</v>
      </c>
      <c r="BY71" t="s">
        <v>1335</v>
      </c>
      <c r="BZ71" t="s">
        <v>1320</v>
      </c>
      <c r="CA71">
        <v>400</v>
      </c>
      <c r="CB71">
        <v>420</v>
      </c>
      <c r="CC71">
        <f t="shared" ref="CC71:CC76" si="4">(CA71+CB71)/2</f>
        <v>410</v>
      </c>
    </row>
    <row r="72" spans="42:81">
      <c r="AP72" t="s">
        <v>1336</v>
      </c>
      <c r="AQ72">
        <v>2</v>
      </c>
      <c r="AR72">
        <v>2.2999999999999998</v>
      </c>
      <c r="AS72">
        <v>3.8</v>
      </c>
      <c r="AT72">
        <v>7</v>
      </c>
      <c r="BV72">
        <v>1980</v>
      </c>
      <c r="BW72">
        <v>1979</v>
      </c>
      <c r="BX72" t="s">
        <v>1331</v>
      </c>
      <c r="BY72" t="s">
        <v>1337</v>
      </c>
      <c r="BZ72" t="s">
        <v>1322</v>
      </c>
      <c r="CA72">
        <v>550</v>
      </c>
      <c r="CB72">
        <v>550</v>
      </c>
      <c r="CC72">
        <f t="shared" ref="CC72" si="5">(CA72+CB72)/2</f>
        <v>550</v>
      </c>
    </row>
    <row r="73" spans="42:81">
      <c r="AP73" t="s">
        <v>1338</v>
      </c>
      <c r="AQ73">
        <v>1</v>
      </c>
      <c r="AR73">
        <v>1.3</v>
      </c>
      <c r="AS73">
        <v>1.9</v>
      </c>
      <c r="AT73">
        <v>4</v>
      </c>
      <c r="BV73">
        <v>1980</v>
      </c>
      <c r="BW73">
        <v>1985</v>
      </c>
      <c r="BX73" t="s">
        <v>1331</v>
      </c>
      <c r="BY73" t="s">
        <v>1339</v>
      </c>
      <c r="BZ73" t="s">
        <v>1309</v>
      </c>
      <c r="CA73">
        <v>690</v>
      </c>
      <c r="CB73">
        <v>600</v>
      </c>
      <c r="CC73">
        <f t="shared" si="4"/>
        <v>645</v>
      </c>
    </row>
    <row r="74" spans="42:81">
      <c r="AP74" t="s">
        <v>1340</v>
      </c>
      <c r="AQ74">
        <v>7</v>
      </c>
      <c r="AR74" t="s">
        <v>1251</v>
      </c>
      <c r="AS74">
        <v>7.9</v>
      </c>
      <c r="AT74">
        <v>4</v>
      </c>
      <c r="BV74">
        <v>1980</v>
      </c>
      <c r="BW74">
        <v>1995</v>
      </c>
      <c r="BX74" t="s">
        <v>1331</v>
      </c>
      <c r="BY74" t="s">
        <v>1341</v>
      </c>
      <c r="BZ74" t="s">
        <v>1342</v>
      </c>
      <c r="CA74">
        <v>930</v>
      </c>
      <c r="CB74">
        <v>620</v>
      </c>
      <c r="CC74">
        <f t="shared" si="4"/>
        <v>775</v>
      </c>
    </row>
    <row r="75" spans="42:81">
      <c r="BV75">
        <v>1980</v>
      </c>
      <c r="BW75">
        <v>2018</v>
      </c>
      <c r="BX75" t="s">
        <v>1331</v>
      </c>
      <c r="BY75" t="s">
        <v>1343</v>
      </c>
      <c r="BZ75" t="s">
        <v>1344</v>
      </c>
      <c r="CA75">
        <v>1000</v>
      </c>
      <c r="CB75">
        <v>950</v>
      </c>
      <c r="CC75">
        <f t="shared" si="4"/>
        <v>975</v>
      </c>
    </row>
    <row r="76" spans="42:81">
      <c r="AP76" t="s">
        <v>1345</v>
      </c>
      <c r="AQ76">
        <v>0.25</v>
      </c>
      <c r="AR76">
        <v>0.5</v>
      </c>
      <c r="AS76">
        <v>4</v>
      </c>
      <c r="AT76">
        <v>7</v>
      </c>
      <c r="CC76">
        <f t="shared" si="4"/>
        <v>0</v>
      </c>
    </row>
    <row r="77" spans="42:81">
      <c r="AP77" t="s">
        <v>1346</v>
      </c>
      <c r="AQ77">
        <v>1.5</v>
      </c>
      <c r="AR77" t="s">
        <v>1251</v>
      </c>
      <c r="AS77">
        <v>3</v>
      </c>
      <c r="AT77">
        <v>4</v>
      </c>
    </row>
    <row r="79" spans="42:81">
      <c r="AP79" t="s">
        <v>1285</v>
      </c>
      <c r="AQ79">
        <v>-0.5</v>
      </c>
      <c r="AR79">
        <v>1.8</v>
      </c>
      <c r="AS79">
        <v>6.5</v>
      </c>
      <c r="AT79">
        <v>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467D-0577-483D-AF9A-AF7507980279}">
  <dimension ref="A1:AR217"/>
  <sheetViews>
    <sheetView topLeftCell="T174" workbookViewId="0">
      <selection activeCell="AC200" activeCellId="1" sqref="AC189:AC195 AC200:AC203"/>
    </sheetView>
  </sheetViews>
  <sheetFormatPr defaultRowHeight="15"/>
  <cols>
    <col min="1" max="1" width="16.7109375" customWidth="1"/>
    <col min="2" max="2" width="14.5703125" customWidth="1"/>
    <col min="3" max="4" width="13.7109375" customWidth="1"/>
    <col min="5" max="5" width="13.28515625" customWidth="1"/>
    <col min="6" max="6" width="11.140625" customWidth="1"/>
    <col min="7" max="7" width="10.42578125" customWidth="1"/>
    <col min="8" max="8" width="10" customWidth="1"/>
    <col min="9" max="9" width="9.7109375" customWidth="1"/>
    <col min="10" max="10" width="10.140625" customWidth="1"/>
    <col min="11" max="11" width="10.5703125" customWidth="1"/>
    <col min="12" max="12" width="11.5703125" customWidth="1"/>
    <col min="13" max="13" width="12.42578125" customWidth="1"/>
    <col min="14" max="14" width="11" customWidth="1"/>
    <col min="16" max="16" width="13.42578125" customWidth="1"/>
    <col min="17" max="17" width="13.85546875" customWidth="1"/>
    <col min="18" max="18" width="14.28515625" customWidth="1"/>
    <col min="19" max="19" width="14" customWidth="1"/>
    <col min="20" max="20" width="14.140625" customWidth="1"/>
    <col min="21" max="21" width="12.7109375" customWidth="1"/>
    <col min="22" max="22" width="12" customWidth="1"/>
    <col min="23" max="23" width="11.140625" customWidth="1"/>
    <col min="24" max="24" width="13.5703125" customWidth="1"/>
    <col min="25" max="25" width="13.140625" customWidth="1"/>
    <col min="26" max="26" width="12.42578125" customWidth="1"/>
    <col min="27" max="28" width="12.85546875" customWidth="1"/>
    <col min="29" max="29" width="11.7109375" customWidth="1"/>
    <col min="30" max="30" width="11.85546875" customWidth="1"/>
    <col min="31" max="31" width="13.42578125" customWidth="1"/>
    <col min="32" max="33" width="13.28515625" customWidth="1"/>
    <col min="34" max="34" width="12.85546875" customWidth="1"/>
    <col min="35" max="35" width="13.85546875" customWidth="1"/>
    <col min="36" max="36" width="14.140625" customWidth="1"/>
    <col min="37" max="38" width="11.140625" customWidth="1"/>
    <col min="39" max="39" width="13.42578125" customWidth="1"/>
    <col min="40" max="40" width="11.42578125" customWidth="1"/>
    <col min="41" max="42" width="11.140625" customWidth="1"/>
    <col min="43" max="43" width="12" customWidth="1"/>
    <col min="44" max="44" width="12.28515625" customWidth="1"/>
    <col min="45" max="45" width="12" customWidth="1"/>
  </cols>
  <sheetData>
    <row r="1" spans="1:21">
      <c r="B1" t="s">
        <v>1347</v>
      </c>
      <c r="C1" t="s">
        <v>1348</v>
      </c>
      <c r="D1" t="s">
        <v>1349</v>
      </c>
      <c r="E1" t="s">
        <v>1350</v>
      </c>
      <c r="F1" t="s">
        <v>1351</v>
      </c>
      <c r="G1" t="s">
        <v>1352</v>
      </c>
      <c r="H1" t="s">
        <v>1353</v>
      </c>
      <c r="I1" t="s">
        <v>1354</v>
      </c>
      <c r="J1" t="s">
        <v>1355</v>
      </c>
      <c r="K1" t="s">
        <v>1356</v>
      </c>
      <c r="L1" t="s">
        <v>1357</v>
      </c>
      <c r="M1" t="s">
        <v>1358</v>
      </c>
      <c r="N1" t="s">
        <v>1359</v>
      </c>
      <c r="Q1">
        <v>0.95</v>
      </c>
      <c r="S1">
        <v>1.05</v>
      </c>
      <c r="T1">
        <v>1.1000000000000001</v>
      </c>
    </row>
    <row r="2" spans="1:21">
      <c r="A2" t="s">
        <v>1360</v>
      </c>
      <c r="B2">
        <v>50</v>
      </c>
      <c r="Q2" t="s">
        <v>1361</v>
      </c>
      <c r="R2" t="s">
        <v>1362</v>
      </c>
      <c r="S2" t="s">
        <v>1363</v>
      </c>
      <c r="T2" t="s">
        <v>1364</v>
      </c>
      <c r="U2" t="s">
        <v>1365</v>
      </c>
    </row>
    <row r="3" spans="1:21">
      <c r="A3" t="s">
        <v>1366</v>
      </c>
      <c r="P3" t="s">
        <v>1360</v>
      </c>
      <c r="Q3">
        <v>120</v>
      </c>
      <c r="R3" s="19">
        <v>170</v>
      </c>
      <c r="S3" s="19">
        <v>220</v>
      </c>
      <c r="T3" s="19">
        <v>280</v>
      </c>
    </row>
    <row r="4" spans="1:21">
      <c r="A4" t="s">
        <v>1367</v>
      </c>
      <c r="G4">
        <v>120</v>
      </c>
      <c r="P4" t="s">
        <v>1366</v>
      </c>
    </row>
    <row r="5" spans="1:21">
      <c r="A5" t="s">
        <v>1368</v>
      </c>
      <c r="P5" t="s">
        <v>1367</v>
      </c>
      <c r="S5" s="19">
        <v>320</v>
      </c>
    </row>
    <row r="6" spans="1:21">
      <c r="A6" t="s">
        <v>1369</v>
      </c>
      <c r="P6" t="s">
        <v>1368</v>
      </c>
      <c r="U6" s="19">
        <v>340</v>
      </c>
    </row>
    <row r="7" spans="1:21">
      <c r="A7" t="s">
        <v>1370</v>
      </c>
      <c r="H7" s="19">
        <v>420</v>
      </c>
      <c r="P7" t="s">
        <v>1369</v>
      </c>
    </row>
    <row r="8" spans="1:21">
      <c r="A8" t="s">
        <v>1371</v>
      </c>
      <c r="G8">
        <v>450</v>
      </c>
      <c r="I8" s="19">
        <v>600</v>
      </c>
      <c r="P8" t="s">
        <v>1370</v>
      </c>
    </row>
    <row r="9" spans="1:21">
      <c r="A9" t="s">
        <v>1372</v>
      </c>
      <c r="J9" s="19" t="s">
        <v>1373</v>
      </c>
      <c r="P9" t="s">
        <v>1371</v>
      </c>
    </row>
    <row r="10" spans="1:21">
      <c r="A10" t="s">
        <v>1374</v>
      </c>
      <c r="K10">
        <v>900</v>
      </c>
      <c r="P10" t="s">
        <v>1372</v>
      </c>
    </row>
    <row r="11" spans="1:21">
      <c r="P11" t="s">
        <v>1374</v>
      </c>
    </row>
    <row r="14" spans="1:21">
      <c r="B14" t="s">
        <v>1347</v>
      </c>
      <c r="C14" t="s">
        <v>1348</v>
      </c>
      <c r="D14" t="s">
        <v>1349</v>
      </c>
      <c r="E14" t="s">
        <v>1350</v>
      </c>
      <c r="F14" t="s">
        <v>1351</v>
      </c>
      <c r="G14" t="s">
        <v>1352</v>
      </c>
      <c r="H14" t="s">
        <v>1353</v>
      </c>
      <c r="I14" t="s">
        <v>1354</v>
      </c>
      <c r="J14" t="s">
        <v>1355</v>
      </c>
      <c r="K14" t="s">
        <v>1356</v>
      </c>
      <c r="L14" t="s">
        <v>1357</v>
      </c>
      <c r="M14" t="s">
        <v>1358</v>
      </c>
      <c r="N14" t="s">
        <v>1359</v>
      </c>
    </row>
    <row r="15" spans="1:21">
      <c r="A15" t="s">
        <v>1370</v>
      </c>
      <c r="G15">
        <v>420</v>
      </c>
      <c r="H15" s="24">
        <v>540</v>
      </c>
    </row>
    <row r="16" spans="1:21">
      <c r="A16" t="s">
        <v>1371</v>
      </c>
      <c r="I16" s="24">
        <v>640</v>
      </c>
    </row>
    <row r="17" spans="1:29">
      <c r="A17" t="s">
        <v>1372</v>
      </c>
    </row>
    <row r="18" spans="1:29">
      <c r="A18" t="s">
        <v>1374</v>
      </c>
    </row>
    <row r="21" spans="1:29">
      <c r="B21">
        <v>0.45</v>
      </c>
      <c r="C21">
        <v>0.7</v>
      </c>
      <c r="D21">
        <v>0.85</v>
      </c>
      <c r="F21" t="s">
        <v>1375</v>
      </c>
      <c r="G21" s="27">
        <v>0.15</v>
      </c>
      <c r="H21" t="s">
        <v>1376</v>
      </c>
      <c r="I21" s="27">
        <v>0.2</v>
      </c>
      <c r="J21" t="s">
        <v>1377</v>
      </c>
      <c r="K21" s="27">
        <v>0.25</v>
      </c>
      <c r="L21" s="27">
        <v>0.35</v>
      </c>
      <c r="M21" s="27">
        <v>0.4</v>
      </c>
      <c r="N21" s="27">
        <v>0.45</v>
      </c>
      <c r="Q21">
        <v>0.45</v>
      </c>
      <c r="R21">
        <v>0.7</v>
      </c>
      <c r="S21">
        <v>0.85</v>
      </c>
      <c r="U21">
        <v>1.125</v>
      </c>
      <c r="V21">
        <v>1.1499999999999999</v>
      </c>
      <c r="W21">
        <v>1.175</v>
      </c>
      <c r="X21">
        <v>1.2</v>
      </c>
      <c r="Y21">
        <v>1.2250000000000001</v>
      </c>
      <c r="Z21">
        <v>1.25</v>
      </c>
      <c r="AA21">
        <v>1.3</v>
      </c>
      <c r="AB21">
        <v>1.35</v>
      </c>
      <c r="AC21">
        <v>1.4</v>
      </c>
    </row>
    <row r="22" spans="1:29">
      <c r="B22" t="s">
        <v>1347</v>
      </c>
      <c r="C22" t="s">
        <v>1348</v>
      </c>
      <c r="D22" t="s">
        <v>1349</v>
      </c>
      <c r="E22" t="s">
        <v>1350</v>
      </c>
      <c r="F22" t="s">
        <v>1351</v>
      </c>
      <c r="G22" t="s">
        <v>1352</v>
      </c>
      <c r="H22" t="s">
        <v>1353</v>
      </c>
      <c r="I22" t="s">
        <v>1354</v>
      </c>
      <c r="J22" t="s">
        <v>1355</v>
      </c>
      <c r="K22" t="s">
        <v>1356</v>
      </c>
      <c r="L22" t="s">
        <v>1357</v>
      </c>
      <c r="M22" t="s">
        <v>1358</v>
      </c>
      <c r="N22" t="s">
        <v>1359</v>
      </c>
      <c r="Q22" t="s">
        <v>1347</v>
      </c>
      <c r="R22" t="s">
        <v>1348</v>
      </c>
      <c r="S22" t="s">
        <v>1349</v>
      </c>
      <c r="T22" t="s">
        <v>1350</v>
      </c>
      <c r="U22" t="s">
        <v>1351</v>
      </c>
      <c r="V22" t="s">
        <v>1352</v>
      </c>
      <c r="W22" t="s">
        <v>1353</v>
      </c>
      <c r="X22" t="s">
        <v>1354</v>
      </c>
      <c r="Y22" t="s">
        <v>1355</v>
      </c>
      <c r="Z22" t="s">
        <v>1356</v>
      </c>
      <c r="AA22" t="s">
        <v>1357</v>
      </c>
      <c r="AB22" t="s">
        <v>1358</v>
      </c>
      <c r="AC22" t="s">
        <v>1359</v>
      </c>
    </row>
    <row r="23" spans="1:29">
      <c r="A23" t="s">
        <v>1360</v>
      </c>
      <c r="B23">
        <f>E23*B21</f>
        <v>22.5</v>
      </c>
      <c r="C23">
        <f>E23*C21</f>
        <v>35</v>
      </c>
      <c r="D23">
        <f>E23*D21</f>
        <v>42.5</v>
      </c>
      <c r="E23">
        <v>50</v>
      </c>
      <c r="F23" t="s">
        <v>1378</v>
      </c>
      <c r="G23">
        <v>115</v>
      </c>
      <c r="P23" t="s">
        <v>1360</v>
      </c>
      <c r="S23">
        <f>T23*S21</f>
        <v>85</v>
      </c>
      <c r="T23" s="15">
        <v>100</v>
      </c>
      <c r="U23">
        <f>T23*U21</f>
        <v>112.5</v>
      </c>
      <c r="V23">
        <f>T23*V21</f>
        <v>114.99999999999999</v>
      </c>
      <c r="W23">
        <f>T23*W21</f>
        <v>117.5</v>
      </c>
      <c r="X23">
        <f>T23*X21</f>
        <v>120</v>
      </c>
      <c r="Y23">
        <f>T23*Y21</f>
        <v>122.50000000000001</v>
      </c>
      <c r="Z23">
        <f>T23*Z21</f>
        <v>125</v>
      </c>
      <c r="AA23">
        <f>T23*AA21</f>
        <v>130</v>
      </c>
      <c r="AB23">
        <f>T23*AB21</f>
        <v>135</v>
      </c>
      <c r="AC23">
        <f>T23*AC21</f>
        <v>140</v>
      </c>
    </row>
    <row r="24" spans="1:29">
      <c r="A24" t="s">
        <v>1366</v>
      </c>
      <c r="E24">
        <v>75</v>
      </c>
      <c r="P24" t="s">
        <v>1366</v>
      </c>
      <c r="S24">
        <f>T24*S21</f>
        <v>106.25</v>
      </c>
      <c r="T24">
        <f>T23*1.25</f>
        <v>125</v>
      </c>
      <c r="U24">
        <f>T24*U21</f>
        <v>140.625</v>
      </c>
      <c r="V24">
        <f>T24*V21</f>
        <v>143.75</v>
      </c>
      <c r="W24">
        <f>T24*W21</f>
        <v>146.875</v>
      </c>
      <c r="X24">
        <f>T24*X21</f>
        <v>150</v>
      </c>
      <c r="Y24">
        <f>T24*Y21</f>
        <v>153.125</v>
      </c>
      <c r="Z24">
        <f>T24*Z21</f>
        <v>156.25</v>
      </c>
      <c r="AA24">
        <f>T24*AA21</f>
        <v>162.5</v>
      </c>
      <c r="AB24">
        <f>T24*AB21</f>
        <v>168.75</v>
      </c>
      <c r="AC24">
        <f>T24*AC21</f>
        <v>175</v>
      </c>
    </row>
    <row r="25" spans="1:29">
      <c r="A25" t="s">
        <v>1367</v>
      </c>
      <c r="E25">
        <v>100</v>
      </c>
      <c r="G25">
        <v>120</v>
      </c>
      <c r="P25" t="s">
        <v>1367</v>
      </c>
      <c r="T25">
        <f>T24*1.25</f>
        <v>156.25</v>
      </c>
      <c r="U25">
        <f>T25*U21</f>
        <v>175.78125</v>
      </c>
      <c r="V25">
        <f>T25*V21</f>
        <v>179.6875</v>
      </c>
      <c r="W25">
        <f>T25*W21</f>
        <v>183.59375</v>
      </c>
      <c r="X25">
        <f>T25*X21</f>
        <v>187.5</v>
      </c>
      <c r="Y25">
        <f>T25*Y21</f>
        <v>191.40625</v>
      </c>
      <c r="Z25">
        <f>T25*Z21</f>
        <v>195.3125</v>
      </c>
      <c r="AA25">
        <f>T25*AA21</f>
        <v>203.125</v>
      </c>
      <c r="AB25">
        <f>T25*AB21</f>
        <v>210.9375</v>
      </c>
      <c r="AC25">
        <f>T25*AC21</f>
        <v>218.75</v>
      </c>
    </row>
    <row r="26" spans="1:29">
      <c r="A26" t="s">
        <v>1368</v>
      </c>
      <c r="F26" s="19">
        <v>200</v>
      </c>
      <c r="P26" t="s">
        <v>1368</v>
      </c>
      <c r="T26">
        <f>T25*1.25</f>
        <v>195.3125</v>
      </c>
      <c r="U26" s="19">
        <f>T26*U21</f>
        <v>219.7265625</v>
      </c>
      <c r="V26">
        <f>T26*V21</f>
        <v>224.60937499999997</v>
      </c>
      <c r="W26">
        <f>T26*W21</f>
        <v>229.4921875</v>
      </c>
      <c r="X26">
        <f>T26*X21</f>
        <v>234.375</v>
      </c>
      <c r="Y26">
        <f>T26*Y21</f>
        <v>239.25781250000003</v>
      </c>
      <c r="Z26">
        <f>T26*Z21</f>
        <v>244.140625</v>
      </c>
      <c r="AA26">
        <f>T26*AA21</f>
        <v>253.90625</v>
      </c>
      <c r="AB26">
        <f>T26*AB21</f>
        <v>263.671875</v>
      </c>
      <c r="AC26">
        <f>T26*AC21</f>
        <v>273.4375</v>
      </c>
    </row>
    <row r="27" spans="1:29">
      <c r="A27" t="s">
        <v>1369</v>
      </c>
      <c r="P27" t="s">
        <v>1369</v>
      </c>
      <c r="T27">
        <f>T26*1.25</f>
        <v>244.140625</v>
      </c>
      <c r="U27">
        <f>T27*U21</f>
        <v>274.658203125</v>
      </c>
      <c r="V27">
        <f>T27*V21</f>
        <v>280.76171875</v>
      </c>
      <c r="W27">
        <f>T27*W21</f>
        <v>286.865234375</v>
      </c>
      <c r="X27">
        <f>T27*X21</f>
        <v>292.96875</v>
      </c>
      <c r="Y27">
        <f>T27*Y21</f>
        <v>299.072265625</v>
      </c>
      <c r="Z27">
        <f>T27*Z21</f>
        <v>305.17578125</v>
      </c>
      <c r="AA27">
        <f>T27*AA21</f>
        <v>317.3828125</v>
      </c>
      <c r="AB27">
        <f>T27*AB21</f>
        <v>329.58984375</v>
      </c>
      <c r="AC27">
        <f>T27*AC21</f>
        <v>341.796875</v>
      </c>
    </row>
    <row r="28" spans="1:29">
      <c r="A28" t="s">
        <v>1370</v>
      </c>
      <c r="E28">
        <v>360</v>
      </c>
      <c r="H28" s="19">
        <v>420</v>
      </c>
      <c r="P28" t="s">
        <v>1370</v>
      </c>
      <c r="T28">
        <f>T27*1.25</f>
        <v>305.17578125</v>
      </c>
      <c r="U28">
        <f>T28*U21</f>
        <v>343.32275390625</v>
      </c>
      <c r="V28">
        <f>T28*V21</f>
        <v>350.9521484375</v>
      </c>
      <c r="W28" s="48">
        <f>T28*W21</f>
        <v>358.58154296875</v>
      </c>
      <c r="X28">
        <f>T28*X21</f>
        <v>366.2109375</v>
      </c>
      <c r="Y28">
        <f>T28*Y21</f>
        <v>373.84033203125</v>
      </c>
      <c r="Z28">
        <f>T28*Z21</f>
        <v>381.4697265625</v>
      </c>
      <c r="AA28">
        <f>T28*AA21</f>
        <v>396.728515625</v>
      </c>
      <c r="AB28">
        <f>T28*AB21</f>
        <v>411.9873046875</v>
      </c>
      <c r="AC28">
        <f>T28*AC21</f>
        <v>427.24609375</v>
      </c>
    </row>
    <row r="29" spans="1:29">
      <c r="A29" t="s">
        <v>1371</v>
      </c>
      <c r="E29">
        <v>500</v>
      </c>
      <c r="G29">
        <v>450</v>
      </c>
      <c r="I29" s="19">
        <v>600</v>
      </c>
      <c r="P29" t="s">
        <v>1371</v>
      </c>
      <c r="T29">
        <f>T28*1.25</f>
        <v>381.4697265625</v>
      </c>
      <c r="U29">
        <f>T29*U21</f>
        <v>429.1534423828125</v>
      </c>
      <c r="V29">
        <f>T29*V21</f>
        <v>438.69018554687494</v>
      </c>
      <c r="W29">
        <f>T29*W21</f>
        <v>448.2269287109375</v>
      </c>
      <c r="X29" s="48">
        <f>T29*X21</f>
        <v>457.763671875</v>
      </c>
      <c r="Y29">
        <f>T29*Y21</f>
        <v>467.30041503906256</v>
      </c>
      <c r="Z29">
        <f>T29*Z21</f>
        <v>476.837158203125</v>
      </c>
      <c r="AA29">
        <f>T29*AA21</f>
        <v>495.91064453125</v>
      </c>
      <c r="AB29">
        <f>T29*AB21</f>
        <v>514.984130859375</v>
      </c>
      <c r="AC29">
        <f>T29*AC21</f>
        <v>534.0576171875</v>
      </c>
    </row>
    <row r="30" spans="1:29">
      <c r="A30" t="s">
        <v>1372</v>
      </c>
      <c r="E30">
        <v>570</v>
      </c>
      <c r="J30" s="19" t="s">
        <v>1373</v>
      </c>
      <c r="P30" t="s">
        <v>1372</v>
      </c>
      <c r="T30">
        <f>T29*1.25</f>
        <v>476.837158203125</v>
      </c>
      <c r="U30">
        <f>T30*U21</f>
        <v>536.44180297851563</v>
      </c>
      <c r="V30">
        <f>T30*V21</f>
        <v>548.36273193359375</v>
      </c>
      <c r="W30">
        <f>T30*W21</f>
        <v>560.28366088867188</v>
      </c>
      <c r="X30">
        <f>T30*X21</f>
        <v>572.20458984375</v>
      </c>
      <c r="Y30" s="48">
        <f>T30*Y21</f>
        <v>584.12551879882813</v>
      </c>
      <c r="Z30">
        <f>T30*Z21</f>
        <v>596.04644775390625</v>
      </c>
      <c r="AA30">
        <f>T30*AA21</f>
        <v>619.8883056640625</v>
      </c>
      <c r="AB30">
        <f>T30*AB21</f>
        <v>643.73016357421875</v>
      </c>
      <c r="AC30">
        <f>T30*AC21</f>
        <v>667.572021484375</v>
      </c>
    </row>
    <row r="31" spans="1:29">
      <c r="A31" t="s">
        <v>1374</v>
      </c>
      <c r="E31">
        <v>720</v>
      </c>
      <c r="K31">
        <v>900</v>
      </c>
      <c r="P31" t="s">
        <v>1374</v>
      </c>
      <c r="T31">
        <f>T30*1.25</f>
        <v>596.04644775390625</v>
      </c>
      <c r="U31">
        <f>T31*U21</f>
        <v>670.55225372314453</v>
      </c>
      <c r="V31">
        <f>T31*V21</f>
        <v>685.45341491699219</v>
      </c>
      <c r="W31">
        <f>T31*W21</f>
        <v>700.35457611083984</v>
      </c>
      <c r="X31">
        <f>T31*X21</f>
        <v>715.2557373046875</v>
      </c>
      <c r="Y31">
        <f>T31*Y21</f>
        <v>730.15689849853516</v>
      </c>
      <c r="Z31" s="24">
        <f>T31*Z21</f>
        <v>745.05805969238281</v>
      </c>
      <c r="AA31">
        <f>T31*AA21</f>
        <v>774.86038208007813</v>
      </c>
      <c r="AB31">
        <f>T31*AB21</f>
        <v>804.66270446777344</v>
      </c>
      <c r="AC31">
        <f>T31*AC21</f>
        <v>834.46502685546875</v>
      </c>
    </row>
    <row r="32" spans="1:29">
      <c r="E32" t="s">
        <v>1379</v>
      </c>
    </row>
    <row r="33" spans="1:36">
      <c r="Q33">
        <v>0.45</v>
      </c>
      <c r="R33">
        <v>0.7</v>
      </c>
      <c r="S33">
        <v>0.85</v>
      </c>
      <c r="U33">
        <v>1.125</v>
      </c>
      <c r="V33">
        <v>1.1499999999999999</v>
      </c>
      <c r="W33">
        <v>1.175</v>
      </c>
      <c r="X33">
        <v>1.2</v>
      </c>
      <c r="Y33">
        <v>1.2250000000000001</v>
      </c>
      <c r="Z33">
        <v>1.25</v>
      </c>
      <c r="AA33">
        <v>1.4</v>
      </c>
      <c r="AB33">
        <v>1.5</v>
      </c>
      <c r="AC33">
        <v>1.6</v>
      </c>
      <c r="AF33">
        <v>0.95</v>
      </c>
      <c r="AH33">
        <v>1.1499999999999999</v>
      </c>
      <c r="AI33">
        <v>1.2</v>
      </c>
      <c r="AJ33">
        <v>1.35</v>
      </c>
    </row>
    <row r="34" spans="1:36">
      <c r="Q34" t="s">
        <v>1347</v>
      </c>
      <c r="R34" t="s">
        <v>1348</v>
      </c>
      <c r="S34" t="s">
        <v>1349</v>
      </c>
      <c r="T34" t="s">
        <v>1350</v>
      </c>
      <c r="U34" t="s">
        <v>1351</v>
      </c>
      <c r="V34" t="s">
        <v>1352</v>
      </c>
      <c r="W34" t="s">
        <v>1353</v>
      </c>
      <c r="X34" t="s">
        <v>1354</v>
      </c>
      <c r="Y34" t="s">
        <v>1355</v>
      </c>
      <c r="Z34" t="s">
        <v>1356</v>
      </c>
      <c r="AA34" t="s">
        <v>1357</v>
      </c>
      <c r="AB34" t="s">
        <v>1358</v>
      </c>
      <c r="AC34" t="s">
        <v>1359</v>
      </c>
      <c r="AF34" t="s">
        <v>1361</v>
      </c>
      <c r="AG34" t="s">
        <v>1362</v>
      </c>
      <c r="AH34" t="s">
        <v>1363</v>
      </c>
      <c r="AI34" t="s">
        <v>1364</v>
      </c>
      <c r="AJ34" t="s">
        <v>1365</v>
      </c>
    </row>
    <row r="35" spans="1:36">
      <c r="A35" t="s">
        <v>1380</v>
      </c>
      <c r="B35" t="s">
        <v>1347</v>
      </c>
      <c r="C35" t="s">
        <v>1348</v>
      </c>
      <c r="D35" t="s">
        <v>1349</v>
      </c>
      <c r="E35" t="s">
        <v>1350</v>
      </c>
      <c r="F35" t="s">
        <v>1351</v>
      </c>
      <c r="G35" t="s">
        <v>1352</v>
      </c>
      <c r="H35" t="s">
        <v>1353</v>
      </c>
      <c r="I35" t="s">
        <v>1354</v>
      </c>
      <c r="J35" t="s">
        <v>1355</v>
      </c>
      <c r="K35" t="s">
        <v>1356</v>
      </c>
      <c r="L35" t="s">
        <v>1357</v>
      </c>
      <c r="M35" t="s">
        <v>1358</v>
      </c>
      <c r="N35" t="s">
        <v>1359</v>
      </c>
      <c r="P35" t="s">
        <v>1360</v>
      </c>
      <c r="Q35">
        <f>T35*Q33</f>
        <v>56.25</v>
      </c>
      <c r="R35">
        <f>T35*R33</f>
        <v>87.5</v>
      </c>
      <c r="S35">
        <f>T35*S33</f>
        <v>106.25</v>
      </c>
      <c r="T35" s="15">
        <v>125</v>
      </c>
      <c r="U35">
        <f>T35*U33</f>
        <v>140.625</v>
      </c>
      <c r="V35">
        <f>T35*V33</f>
        <v>143.75</v>
      </c>
      <c r="W35">
        <f>T35*W33</f>
        <v>146.875</v>
      </c>
      <c r="X35">
        <f>T35*X33</f>
        <v>150</v>
      </c>
      <c r="Y35">
        <f>T35*Y33</f>
        <v>153.125</v>
      </c>
      <c r="Z35">
        <f>T35*Z33</f>
        <v>156.25</v>
      </c>
      <c r="AA35">
        <f>T35*AA33</f>
        <v>175</v>
      </c>
      <c r="AB35">
        <f>T35*AB33</f>
        <v>187.5</v>
      </c>
      <c r="AC35">
        <f>T35*AC33</f>
        <v>200</v>
      </c>
      <c r="AE35" t="s">
        <v>1360</v>
      </c>
      <c r="AF35">
        <f>AG35*AF33</f>
        <v>118.75</v>
      </c>
      <c r="AG35" s="15">
        <v>125</v>
      </c>
      <c r="AH35">
        <f>AG35*AH33</f>
        <v>143.75</v>
      </c>
      <c r="AI35">
        <f>AG35*AI33</f>
        <v>150</v>
      </c>
      <c r="AJ35">
        <f>AG35*AJ33</f>
        <v>168.75</v>
      </c>
    </row>
    <row r="36" spans="1:36">
      <c r="A36" t="s">
        <v>1370</v>
      </c>
      <c r="E36">
        <v>400</v>
      </c>
      <c r="F36">
        <v>350</v>
      </c>
      <c r="G36">
        <v>420</v>
      </c>
      <c r="H36" s="24">
        <v>540</v>
      </c>
      <c r="P36" t="s">
        <v>1366</v>
      </c>
      <c r="Q36">
        <f>T36*Q33</f>
        <v>67.5</v>
      </c>
      <c r="R36">
        <f>T36*R33</f>
        <v>105</v>
      </c>
      <c r="S36">
        <f>T36*S33</f>
        <v>127.5</v>
      </c>
      <c r="T36">
        <v>150</v>
      </c>
      <c r="U36">
        <f>T36*U33</f>
        <v>168.75</v>
      </c>
      <c r="V36">
        <f>T36*V33</f>
        <v>172.5</v>
      </c>
      <c r="W36">
        <f>T36*W33</f>
        <v>176.25</v>
      </c>
      <c r="X36">
        <f>T36*X33</f>
        <v>180</v>
      </c>
      <c r="Y36">
        <f>T36*Y33</f>
        <v>183.75</v>
      </c>
      <c r="Z36">
        <f>T36*Z33</f>
        <v>187.5</v>
      </c>
      <c r="AA36">
        <f>T36*AA33</f>
        <v>210</v>
      </c>
      <c r="AB36">
        <f>T36*AB33</f>
        <v>225</v>
      </c>
      <c r="AC36">
        <f>T36*AC33</f>
        <v>240</v>
      </c>
      <c r="AE36" t="s">
        <v>1366</v>
      </c>
      <c r="AF36">
        <f>AG36*AF33</f>
        <v>142.5</v>
      </c>
      <c r="AG36">
        <v>150</v>
      </c>
      <c r="AH36">
        <f>AG36*AH33</f>
        <v>172.5</v>
      </c>
      <c r="AI36">
        <f>AG36*AI33</f>
        <v>180</v>
      </c>
      <c r="AJ36">
        <f>AG36*AJ33</f>
        <v>202.5</v>
      </c>
    </row>
    <row r="37" spans="1:36">
      <c r="A37" t="s">
        <v>1371</v>
      </c>
      <c r="E37">
        <v>475</v>
      </c>
      <c r="I37" s="24">
        <v>640</v>
      </c>
      <c r="P37" t="s">
        <v>1367</v>
      </c>
      <c r="Q37">
        <f>T37*Q33</f>
        <v>78.75</v>
      </c>
      <c r="R37">
        <f>T37*R33</f>
        <v>122.49999999999999</v>
      </c>
      <c r="S37">
        <f>T37*S33</f>
        <v>148.75</v>
      </c>
      <c r="T37">
        <v>175</v>
      </c>
      <c r="U37">
        <f>T37*U33</f>
        <v>196.875</v>
      </c>
      <c r="V37">
        <f>T37*V33</f>
        <v>201.24999999999997</v>
      </c>
      <c r="W37">
        <f>T37*W33</f>
        <v>205.625</v>
      </c>
      <c r="X37">
        <f>T37*X33</f>
        <v>210</v>
      </c>
      <c r="Y37">
        <f>T37*Y33</f>
        <v>214.37500000000003</v>
      </c>
      <c r="Z37">
        <f>T37*Z33</f>
        <v>218.75</v>
      </c>
      <c r="AA37">
        <f>T37*AA33</f>
        <v>244.99999999999997</v>
      </c>
      <c r="AB37">
        <f>T37*AB33</f>
        <v>262.5</v>
      </c>
      <c r="AC37">
        <f>T37*AC33</f>
        <v>280</v>
      </c>
      <c r="AE37" t="s">
        <v>1367</v>
      </c>
      <c r="AF37">
        <f>AG37*AF33</f>
        <v>166.25</v>
      </c>
      <c r="AG37">
        <v>175</v>
      </c>
      <c r="AH37">
        <f>AG37*AH33</f>
        <v>201.24999999999997</v>
      </c>
      <c r="AI37">
        <f>AG37*AI33</f>
        <v>210</v>
      </c>
      <c r="AJ37">
        <f>AG37*AJ33</f>
        <v>236.25000000000003</v>
      </c>
    </row>
    <row r="38" spans="1:36">
      <c r="A38" t="s">
        <v>1372</v>
      </c>
      <c r="E38">
        <v>575</v>
      </c>
      <c r="P38" t="s">
        <v>1368</v>
      </c>
      <c r="Q38">
        <f>T38*Q33</f>
        <v>101.25</v>
      </c>
      <c r="R38">
        <f>T38*R33</f>
        <v>157.5</v>
      </c>
      <c r="S38">
        <f>T38*S33</f>
        <v>191.25</v>
      </c>
      <c r="T38">
        <v>225</v>
      </c>
      <c r="U38" s="19">
        <f>T38*U33</f>
        <v>253.125</v>
      </c>
      <c r="V38">
        <f>T38*V33</f>
        <v>258.75</v>
      </c>
      <c r="W38">
        <f>T38*W33</f>
        <v>264.375</v>
      </c>
      <c r="X38">
        <f>T38*X33</f>
        <v>270</v>
      </c>
      <c r="Y38">
        <f>T38*Y33</f>
        <v>275.625</v>
      </c>
      <c r="Z38">
        <f>T38*Z33</f>
        <v>281.25</v>
      </c>
      <c r="AA38">
        <f>T38*AA33</f>
        <v>315</v>
      </c>
      <c r="AB38">
        <f>T38*AB33</f>
        <v>337.5</v>
      </c>
      <c r="AC38">
        <f>T38*AC33</f>
        <v>360</v>
      </c>
      <c r="AE38" t="s">
        <v>1368</v>
      </c>
      <c r="AF38">
        <f>AG38*AF33</f>
        <v>213.75</v>
      </c>
      <c r="AG38">
        <v>225</v>
      </c>
      <c r="AH38">
        <f>AG38*AH33</f>
        <v>258.75</v>
      </c>
      <c r="AI38">
        <f>AG38*AI33</f>
        <v>270</v>
      </c>
      <c r="AJ38">
        <f>AG38*AJ33</f>
        <v>303.75</v>
      </c>
    </row>
    <row r="39" spans="1:36">
      <c r="A39" t="s">
        <v>1374</v>
      </c>
      <c r="E39">
        <v>675</v>
      </c>
      <c r="P39" t="s">
        <v>1369</v>
      </c>
      <c r="Q39">
        <f>T39*Q33</f>
        <v>123.75</v>
      </c>
      <c r="R39">
        <f>T39*R33</f>
        <v>192.5</v>
      </c>
      <c r="S39">
        <f>T39*S33</f>
        <v>233.75</v>
      </c>
      <c r="T39">
        <v>275</v>
      </c>
      <c r="U39">
        <f>T39*U33</f>
        <v>309.375</v>
      </c>
      <c r="V39" s="19">
        <f>T39*V33</f>
        <v>316.25</v>
      </c>
      <c r="W39">
        <f>T39*W33</f>
        <v>323.125</v>
      </c>
      <c r="X39">
        <f>T39*X33</f>
        <v>330</v>
      </c>
      <c r="Y39">
        <f>T39*Y33</f>
        <v>336.875</v>
      </c>
      <c r="Z39">
        <f>T39*Z33</f>
        <v>343.75</v>
      </c>
      <c r="AA39">
        <f>T39*AA33</f>
        <v>385</v>
      </c>
      <c r="AB39">
        <f>T39*AB33</f>
        <v>412.5</v>
      </c>
      <c r="AC39">
        <f>T39*AC33</f>
        <v>440</v>
      </c>
      <c r="AE39" t="s">
        <v>1369</v>
      </c>
      <c r="AF39">
        <f>AG39*AF33</f>
        <v>261.25</v>
      </c>
      <c r="AG39">
        <v>275</v>
      </c>
      <c r="AH39">
        <f>AG39*AH33</f>
        <v>316.25</v>
      </c>
      <c r="AI39">
        <f>AG39*AI33</f>
        <v>330</v>
      </c>
      <c r="AJ39">
        <f>AG39*AJ33</f>
        <v>371.25</v>
      </c>
    </row>
    <row r="40" spans="1:36">
      <c r="P40" t="s">
        <v>1370</v>
      </c>
      <c r="Q40">
        <f>T40*Q33</f>
        <v>168.75</v>
      </c>
      <c r="R40">
        <f>T40*R33</f>
        <v>262.5</v>
      </c>
      <c r="S40">
        <f>T40*S33</f>
        <v>318.75</v>
      </c>
      <c r="T40">
        <v>375</v>
      </c>
      <c r="U40">
        <f>T40*U33</f>
        <v>421.875</v>
      </c>
      <c r="V40">
        <f>T40*V33</f>
        <v>431.24999999999994</v>
      </c>
      <c r="W40" s="19">
        <f>T40*W33</f>
        <v>440.625</v>
      </c>
      <c r="X40">
        <f>T40*X33</f>
        <v>450</v>
      </c>
      <c r="Y40">
        <f>T40*Y33</f>
        <v>459.37500000000006</v>
      </c>
      <c r="Z40">
        <f>T40*Z33</f>
        <v>468.75</v>
      </c>
      <c r="AA40">
        <f>T40*AA33</f>
        <v>525</v>
      </c>
      <c r="AB40">
        <f>T40*AB33</f>
        <v>562.5</v>
      </c>
      <c r="AC40">
        <f>T40*AC33</f>
        <v>600</v>
      </c>
      <c r="AE40" t="s">
        <v>1370</v>
      </c>
      <c r="AF40">
        <f>AG40*AF33</f>
        <v>356.25</v>
      </c>
      <c r="AG40">
        <v>375</v>
      </c>
      <c r="AH40">
        <f>AG40*AH33</f>
        <v>431.24999999999994</v>
      </c>
      <c r="AI40">
        <f>AG40*AI33</f>
        <v>450</v>
      </c>
      <c r="AJ40">
        <f>AG40*AJ33</f>
        <v>506.25000000000006</v>
      </c>
    </row>
    <row r="41" spans="1:36">
      <c r="P41" t="s">
        <v>1371</v>
      </c>
      <c r="Q41">
        <f>T41*Q33</f>
        <v>225</v>
      </c>
      <c r="R41">
        <f>T41*R33</f>
        <v>350</v>
      </c>
      <c r="S41">
        <f>T41*S33</f>
        <v>425</v>
      </c>
      <c r="T41">
        <v>500</v>
      </c>
      <c r="U41">
        <f>T41*U33</f>
        <v>562.5</v>
      </c>
      <c r="V41">
        <f>T41*V33</f>
        <v>575</v>
      </c>
      <c r="W41">
        <f>T41*W33</f>
        <v>587.5</v>
      </c>
      <c r="X41" s="19">
        <f>T41*X33</f>
        <v>600</v>
      </c>
      <c r="Y41">
        <f>T41*Y33</f>
        <v>612.5</v>
      </c>
      <c r="Z41">
        <f>T41*Z33</f>
        <v>625</v>
      </c>
      <c r="AA41" s="19">
        <f>T41*AA33</f>
        <v>700</v>
      </c>
      <c r="AB41">
        <f>T41*AB33</f>
        <v>750</v>
      </c>
      <c r="AC41">
        <f>T41*AC33</f>
        <v>800</v>
      </c>
      <c r="AE41" t="s">
        <v>1371</v>
      </c>
      <c r="AF41">
        <f>AG41*AF33</f>
        <v>475</v>
      </c>
      <c r="AG41">
        <v>500</v>
      </c>
      <c r="AH41">
        <f>AG41*AH33</f>
        <v>575</v>
      </c>
      <c r="AI41">
        <f>AG41*AI33</f>
        <v>600</v>
      </c>
      <c r="AJ41">
        <f>AG41*AJ33</f>
        <v>675</v>
      </c>
    </row>
    <row r="42" spans="1:36">
      <c r="B42">
        <v>0.45</v>
      </c>
      <c r="C42">
        <v>0.7</v>
      </c>
      <c r="D42">
        <v>0.85</v>
      </c>
      <c r="F42">
        <v>1.125</v>
      </c>
      <c r="G42">
        <v>1.1499999999999999</v>
      </c>
      <c r="H42">
        <v>1.175</v>
      </c>
      <c r="I42">
        <v>1.2</v>
      </c>
      <c r="J42">
        <v>1.2250000000000001</v>
      </c>
      <c r="K42">
        <v>1.25</v>
      </c>
      <c r="L42">
        <v>1.4</v>
      </c>
      <c r="M42">
        <v>1.45</v>
      </c>
      <c r="N42">
        <v>1.5</v>
      </c>
      <c r="P42" t="s">
        <v>1372</v>
      </c>
      <c r="Q42">
        <f>T42*Q33</f>
        <v>281.25</v>
      </c>
      <c r="R42">
        <f>T42*R33</f>
        <v>437.5</v>
      </c>
      <c r="S42">
        <f>T42*S33</f>
        <v>531.25</v>
      </c>
      <c r="T42">
        <v>625</v>
      </c>
      <c r="U42">
        <f>T42*U33</f>
        <v>703.125</v>
      </c>
      <c r="V42">
        <f>T42*V33</f>
        <v>718.75</v>
      </c>
      <c r="W42">
        <f>T42*W33</f>
        <v>734.375</v>
      </c>
      <c r="X42">
        <f>T42*X33</f>
        <v>750</v>
      </c>
      <c r="Y42" s="19">
        <f>T42*Y33</f>
        <v>765.625</v>
      </c>
      <c r="Z42">
        <f>T42*Z33</f>
        <v>781.25</v>
      </c>
      <c r="AA42">
        <f>T42*AA33</f>
        <v>875</v>
      </c>
      <c r="AB42">
        <f>T42*AB33</f>
        <v>937.5</v>
      </c>
      <c r="AC42">
        <f>T42*AC33</f>
        <v>1000</v>
      </c>
      <c r="AE42" t="s">
        <v>1372</v>
      </c>
      <c r="AF42">
        <f>AG42*AF33</f>
        <v>593.75</v>
      </c>
      <c r="AG42">
        <v>625</v>
      </c>
      <c r="AH42">
        <f>AG42*AH33</f>
        <v>718.75</v>
      </c>
      <c r="AI42">
        <f>AG42*AI33</f>
        <v>750</v>
      </c>
      <c r="AJ42">
        <f>AG42*AJ33</f>
        <v>843.75</v>
      </c>
    </row>
    <row r="43" spans="1:36">
      <c r="B43" t="s">
        <v>1347</v>
      </c>
      <c r="C43" t="s">
        <v>1348</v>
      </c>
      <c r="D43" t="s">
        <v>1349</v>
      </c>
      <c r="E43" t="s">
        <v>1350</v>
      </c>
      <c r="F43" t="s">
        <v>1351</v>
      </c>
      <c r="G43" t="s">
        <v>1352</v>
      </c>
      <c r="H43" t="s">
        <v>1353</v>
      </c>
      <c r="I43" t="s">
        <v>1354</v>
      </c>
      <c r="J43" t="s">
        <v>1355</v>
      </c>
      <c r="K43" t="s">
        <v>1356</v>
      </c>
      <c r="L43" t="s">
        <v>1357</v>
      </c>
      <c r="M43" t="s">
        <v>1358</v>
      </c>
      <c r="N43" t="s">
        <v>1359</v>
      </c>
      <c r="P43" t="s">
        <v>1374</v>
      </c>
      <c r="Q43">
        <f>T43*Q33</f>
        <v>337.5</v>
      </c>
      <c r="R43">
        <f>T43*R33</f>
        <v>525</v>
      </c>
      <c r="S43">
        <f>S33*T43</f>
        <v>637.5</v>
      </c>
      <c r="T43">
        <v>750</v>
      </c>
      <c r="U43">
        <f>T43*U33</f>
        <v>843.75</v>
      </c>
      <c r="V43">
        <f>T43*V33</f>
        <v>862.49999999999989</v>
      </c>
      <c r="W43">
        <f>T43*W33</f>
        <v>881.25</v>
      </c>
      <c r="X43">
        <f>T43*X33</f>
        <v>900</v>
      </c>
      <c r="Y43">
        <f>T43*Y33</f>
        <v>918.75000000000011</v>
      </c>
      <c r="Z43" s="19">
        <f>T43*Z33</f>
        <v>937.5</v>
      </c>
      <c r="AA43">
        <f>T43*AA33</f>
        <v>1050</v>
      </c>
      <c r="AB43">
        <f>T43*AB33</f>
        <v>1125</v>
      </c>
      <c r="AC43">
        <f>T43*AC33</f>
        <v>1200</v>
      </c>
      <c r="AE43" t="s">
        <v>1374</v>
      </c>
      <c r="AF43">
        <f>AF33*AG43</f>
        <v>712.5</v>
      </c>
      <c r="AG43">
        <v>750</v>
      </c>
      <c r="AH43">
        <f>AG43*AH33</f>
        <v>862.49999999999989</v>
      </c>
      <c r="AI43">
        <f>AG43*AI33</f>
        <v>900</v>
      </c>
      <c r="AJ43">
        <f>AG43*AJ33</f>
        <v>1012.5000000000001</v>
      </c>
    </row>
    <row r="44" spans="1:36">
      <c r="A44" t="s">
        <v>1381</v>
      </c>
      <c r="E44" s="19">
        <v>110</v>
      </c>
    </row>
    <row r="45" spans="1:36">
      <c r="A45" t="s">
        <v>1382</v>
      </c>
      <c r="D45" s="19">
        <v>320</v>
      </c>
      <c r="E45" s="19">
        <v>380</v>
      </c>
      <c r="Q45">
        <v>0.45</v>
      </c>
      <c r="R45">
        <v>0.7</v>
      </c>
      <c r="S45">
        <v>0.85</v>
      </c>
      <c r="U45">
        <v>1.125</v>
      </c>
      <c r="V45">
        <v>1.1499999999999999</v>
      </c>
      <c r="W45">
        <v>1.175</v>
      </c>
      <c r="X45">
        <v>1.2</v>
      </c>
      <c r="Y45">
        <v>1.2250000000000001</v>
      </c>
      <c r="Z45">
        <v>1.25</v>
      </c>
      <c r="AA45">
        <v>1.4</v>
      </c>
      <c r="AB45">
        <v>1.5</v>
      </c>
      <c r="AC45">
        <v>1.6</v>
      </c>
      <c r="AF45">
        <v>0.95</v>
      </c>
      <c r="AH45">
        <v>1.1499999999999999</v>
      </c>
      <c r="AI45">
        <v>1.2</v>
      </c>
      <c r="AJ45">
        <v>1.35</v>
      </c>
    </row>
    <row r="46" spans="1:36">
      <c r="A46" t="s">
        <v>1383</v>
      </c>
      <c r="F46" s="19">
        <v>440</v>
      </c>
      <c r="P46" t="s">
        <v>1380</v>
      </c>
      <c r="Q46" t="s">
        <v>1347</v>
      </c>
      <c r="R46" t="s">
        <v>1348</v>
      </c>
      <c r="S46" t="s">
        <v>1349</v>
      </c>
      <c r="T46" t="s">
        <v>1350</v>
      </c>
      <c r="U46" t="s">
        <v>1351</v>
      </c>
      <c r="V46" t="s">
        <v>1352</v>
      </c>
      <c r="W46" t="s">
        <v>1353</v>
      </c>
      <c r="X46" t="s">
        <v>1354</v>
      </c>
      <c r="Y46" t="s">
        <v>1355</v>
      </c>
      <c r="Z46" t="s">
        <v>1356</v>
      </c>
      <c r="AA46" t="s">
        <v>1357</v>
      </c>
      <c r="AB46" t="s">
        <v>1358</v>
      </c>
      <c r="AC46" t="s">
        <v>1359</v>
      </c>
      <c r="AF46" t="s">
        <v>1361</v>
      </c>
      <c r="AG46" t="s">
        <v>1362</v>
      </c>
      <c r="AH46" t="s">
        <v>1363</v>
      </c>
      <c r="AI46" t="s">
        <v>1364</v>
      </c>
      <c r="AJ46" t="s">
        <v>1365</v>
      </c>
    </row>
    <row r="47" spans="1:36">
      <c r="A47" t="s">
        <v>1384</v>
      </c>
      <c r="G47" s="19">
        <v>550</v>
      </c>
      <c r="P47" t="s">
        <v>1370</v>
      </c>
      <c r="Q47">
        <f>T47*Q45</f>
        <v>180</v>
      </c>
      <c r="R47">
        <f>T47*R45</f>
        <v>280</v>
      </c>
      <c r="S47">
        <f>T47*S45</f>
        <v>340</v>
      </c>
      <c r="T47">
        <f>T40+25</f>
        <v>400</v>
      </c>
      <c r="U47">
        <f>T47*U45</f>
        <v>450</v>
      </c>
      <c r="V47">
        <f>T47*V45</f>
        <v>459.99999999999994</v>
      </c>
      <c r="W47">
        <f>T47*W45</f>
        <v>470</v>
      </c>
      <c r="X47">
        <f>T47*X45</f>
        <v>480</v>
      </c>
      <c r="Y47">
        <f>T47*Y45</f>
        <v>490.00000000000006</v>
      </c>
      <c r="Z47">
        <f>T47*Z45</f>
        <v>500</v>
      </c>
      <c r="AA47">
        <f>T47*AA45</f>
        <v>560</v>
      </c>
      <c r="AB47">
        <f>T47*AB45</f>
        <v>600</v>
      </c>
      <c r="AC47">
        <f>T47*AC45</f>
        <v>640</v>
      </c>
      <c r="AE47" t="s">
        <v>1370</v>
      </c>
      <c r="AF47">
        <f>AG47*AF45</f>
        <v>380</v>
      </c>
      <c r="AG47">
        <f>AG40+25</f>
        <v>400</v>
      </c>
      <c r="AH47">
        <f>AG47*AH45</f>
        <v>459.99999999999994</v>
      </c>
      <c r="AI47">
        <f>AG47*AI45</f>
        <v>480</v>
      </c>
      <c r="AJ47">
        <f>AG47*AJ45</f>
        <v>540</v>
      </c>
    </row>
    <row r="48" spans="1:36">
      <c r="A48" t="s">
        <v>1385</v>
      </c>
      <c r="P48" t="s">
        <v>1371</v>
      </c>
      <c r="Q48">
        <f>T48*Q45</f>
        <v>236.25</v>
      </c>
      <c r="R48">
        <f>T48*R45</f>
        <v>367.5</v>
      </c>
      <c r="S48">
        <f>T48*S45</f>
        <v>446.25</v>
      </c>
      <c r="T48">
        <f>T41+25</f>
        <v>525</v>
      </c>
      <c r="U48">
        <f>T48*U45</f>
        <v>590.625</v>
      </c>
      <c r="V48">
        <f>T48*V45</f>
        <v>603.75</v>
      </c>
      <c r="W48">
        <f>T48*W45</f>
        <v>616.875</v>
      </c>
      <c r="X48">
        <f>T48*X45</f>
        <v>630</v>
      </c>
      <c r="Y48">
        <f>T48*Y45</f>
        <v>643.125</v>
      </c>
      <c r="Z48">
        <f>T48*Z45</f>
        <v>656.25</v>
      </c>
      <c r="AA48">
        <f>T48*AA45</f>
        <v>735</v>
      </c>
      <c r="AB48">
        <f>T48*AB45</f>
        <v>787.5</v>
      </c>
      <c r="AC48">
        <f>T48*AC45</f>
        <v>840</v>
      </c>
      <c r="AE48" t="s">
        <v>1371</v>
      </c>
      <c r="AF48">
        <f>AG48*AF45</f>
        <v>498.75</v>
      </c>
      <c r="AG48">
        <f>AG41+25</f>
        <v>525</v>
      </c>
      <c r="AH48">
        <f>AG48*AH45</f>
        <v>603.75</v>
      </c>
      <c r="AI48">
        <f>AG48*AI45</f>
        <v>630</v>
      </c>
      <c r="AJ48">
        <f>AG48*AJ45</f>
        <v>708.75</v>
      </c>
    </row>
    <row r="49" spans="1:36">
      <c r="A49" t="s">
        <v>1386</v>
      </c>
      <c r="P49" t="s">
        <v>1372</v>
      </c>
      <c r="Q49">
        <f>T49*Q45</f>
        <v>292.5</v>
      </c>
      <c r="R49">
        <f>T49*R45</f>
        <v>454.99999999999994</v>
      </c>
      <c r="S49">
        <f>T49*S45</f>
        <v>552.5</v>
      </c>
      <c r="T49">
        <f>T42+25</f>
        <v>650</v>
      </c>
      <c r="U49">
        <f>T49*U45</f>
        <v>731.25</v>
      </c>
      <c r="V49">
        <f>T49*V45</f>
        <v>747.49999999999989</v>
      </c>
      <c r="W49">
        <f>T49*W45</f>
        <v>763.75</v>
      </c>
      <c r="X49">
        <f>T49*X45</f>
        <v>780</v>
      </c>
      <c r="Y49">
        <f>T49*Y45</f>
        <v>796.25000000000011</v>
      </c>
      <c r="Z49">
        <f>T49*Z45</f>
        <v>812.5</v>
      </c>
      <c r="AA49">
        <f>T49*AA45</f>
        <v>909.99999999999989</v>
      </c>
      <c r="AB49">
        <f>T49*AB45</f>
        <v>975</v>
      </c>
      <c r="AC49">
        <f>T49*AC45</f>
        <v>1040</v>
      </c>
      <c r="AE49" t="s">
        <v>1372</v>
      </c>
      <c r="AF49">
        <f>AG49*AF45</f>
        <v>617.5</v>
      </c>
      <c r="AG49">
        <f>AG42+25</f>
        <v>650</v>
      </c>
      <c r="AH49">
        <f>AG49*AH45</f>
        <v>747.49999999999989</v>
      </c>
      <c r="AI49">
        <f>AG49*AI45</f>
        <v>780</v>
      </c>
      <c r="AJ49">
        <f>AG49*AJ45</f>
        <v>877.50000000000011</v>
      </c>
    </row>
    <row r="50" spans="1:36">
      <c r="A50" t="s">
        <v>1387</v>
      </c>
      <c r="P50" t="s">
        <v>1374</v>
      </c>
      <c r="Q50">
        <f>T50*Q45</f>
        <v>348.75</v>
      </c>
      <c r="R50">
        <f>T50*R45</f>
        <v>542.5</v>
      </c>
      <c r="S50">
        <f>T50*S45</f>
        <v>658.75</v>
      </c>
      <c r="T50">
        <f>T43+25</f>
        <v>775</v>
      </c>
      <c r="U50">
        <f>T50*U45</f>
        <v>871.875</v>
      </c>
      <c r="V50">
        <f>T50*V45</f>
        <v>891.24999999999989</v>
      </c>
      <c r="W50">
        <f>T50*W45</f>
        <v>910.625</v>
      </c>
      <c r="X50">
        <f>T50*X45</f>
        <v>930</v>
      </c>
      <c r="Y50">
        <f>T50*Y45</f>
        <v>949.37500000000011</v>
      </c>
      <c r="Z50">
        <f>T50*Z45</f>
        <v>968.75</v>
      </c>
      <c r="AA50">
        <f>T50*AA45</f>
        <v>1085</v>
      </c>
      <c r="AB50">
        <f>T50*AB45</f>
        <v>1162.5</v>
      </c>
      <c r="AC50">
        <f>T50*AC45</f>
        <v>1240</v>
      </c>
      <c r="AE50" t="s">
        <v>1374</v>
      </c>
      <c r="AF50">
        <f>AG50*AF45</f>
        <v>736.25</v>
      </c>
      <c r="AG50">
        <f>AG43+25</f>
        <v>775</v>
      </c>
      <c r="AH50">
        <f>AG50*AH45</f>
        <v>891.24999999999989</v>
      </c>
      <c r="AI50">
        <f>AG50*AI45</f>
        <v>930</v>
      </c>
      <c r="AJ50">
        <f>AG50*AJ45</f>
        <v>1046.25</v>
      </c>
    </row>
    <row r="61" spans="1:36">
      <c r="Q61">
        <v>0.45</v>
      </c>
      <c r="R61">
        <v>0.7</v>
      </c>
      <c r="S61">
        <v>0.85</v>
      </c>
      <c r="U61">
        <v>1.125</v>
      </c>
      <c r="V61">
        <v>1.1499999999999999</v>
      </c>
      <c r="W61">
        <v>1.175</v>
      </c>
      <c r="X61">
        <v>1.2</v>
      </c>
      <c r="Y61">
        <v>1.2250000000000001</v>
      </c>
      <c r="Z61">
        <v>1.25</v>
      </c>
      <c r="AA61">
        <v>1.4</v>
      </c>
      <c r="AB61">
        <v>1.45</v>
      </c>
      <c r="AC61">
        <v>1.5</v>
      </c>
      <c r="AF61">
        <v>0.95</v>
      </c>
      <c r="AH61">
        <v>1.1499999999999999</v>
      </c>
      <c r="AI61">
        <v>1.2</v>
      </c>
      <c r="AJ61">
        <v>1.35</v>
      </c>
    </row>
    <row r="62" spans="1:36">
      <c r="Q62" t="s">
        <v>1347</v>
      </c>
      <c r="R62" t="s">
        <v>1348</v>
      </c>
      <c r="S62" t="s">
        <v>1349</v>
      </c>
      <c r="T62" t="s">
        <v>1350</v>
      </c>
      <c r="U62" t="s">
        <v>1351</v>
      </c>
      <c r="V62" t="s">
        <v>1352</v>
      </c>
      <c r="W62" t="s">
        <v>1353</v>
      </c>
      <c r="X62" t="s">
        <v>1354</v>
      </c>
      <c r="Y62" t="s">
        <v>1355</v>
      </c>
      <c r="Z62" t="s">
        <v>1356</v>
      </c>
      <c r="AA62" t="s">
        <v>1357</v>
      </c>
      <c r="AB62" t="s">
        <v>1358</v>
      </c>
      <c r="AC62" t="s">
        <v>1359</v>
      </c>
      <c r="AF62" t="s">
        <v>1361</v>
      </c>
      <c r="AG62" t="s">
        <v>1362</v>
      </c>
      <c r="AH62" t="s">
        <v>1363</v>
      </c>
      <c r="AI62" t="s">
        <v>1364</v>
      </c>
      <c r="AJ62" t="s">
        <v>1365</v>
      </c>
    </row>
    <row r="63" spans="1:36">
      <c r="P63" t="s">
        <v>1381</v>
      </c>
      <c r="Q63">
        <f>T63*Q61</f>
        <v>90</v>
      </c>
      <c r="R63">
        <f>T63*R61</f>
        <v>140</v>
      </c>
      <c r="S63">
        <f>T63*S61</f>
        <v>170</v>
      </c>
      <c r="T63" s="15">
        <v>200</v>
      </c>
      <c r="U63">
        <f>T63*U61</f>
        <v>225</v>
      </c>
      <c r="V63">
        <f>T63*V61</f>
        <v>229.99999999999997</v>
      </c>
      <c r="W63">
        <f>T63*W61</f>
        <v>235</v>
      </c>
      <c r="X63">
        <f>T63*X61</f>
        <v>240</v>
      </c>
      <c r="Y63">
        <f>T63*Y61</f>
        <v>245.00000000000003</v>
      </c>
      <c r="Z63">
        <f>T63*Z61</f>
        <v>250</v>
      </c>
      <c r="AA63">
        <f>T63*AA61</f>
        <v>280</v>
      </c>
      <c r="AB63">
        <f>T63*AB61</f>
        <v>290</v>
      </c>
      <c r="AC63">
        <f>T63*AC61</f>
        <v>300</v>
      </c>
      <c r="AE63" t="s">
        <v>1381</v>
      </c>
      <c r="AF63">
        <f>AG63*AF61</f>
        <v>190</v>
      </c>
      <c r="AG63" s="15">
        <v>200</v>
      </c>
      <c r="AH63">
        <f>AG63*AH61</f>
        <v>229.99999999999997</v>
      </c>
      <c r="AI63">
        <f>AG63*AI61</f>
        <v>240</v>
      </c>
      <c r="AJ63">
        <f>AG63*AJ61</f>
        <v>270</v>
      </c>
    </row>
    <row r="64" spans="1:36">
      <c r="P64" t="s">
        <v>1382</v>
      </c>
      <c r="Q64">
        <f>T64*Q61</f>
        <v>135</v>
      </c>
      <c r="R64">
        <f>T64*R61</f>
        <v>210</v>
      </c>
      <c r="S64">
        <f>T64*S61</f>
        <v>255</v>
      </c>
      <c r="T64">
        <v>300</v>
      </c>
      <c r="U64">
        <f>T64*U61</f>
        <v>337.5</v>
      </c>
      <c r="V64">
        <f>T64*V61</f>
        <v>345</v>
      </c>
      <c r="W64">
        <f>T64*W61</f>
        <v>352.5</v>
      </c>
      <c r="X64">
        <f>T64*X61</f>
        <v>360</v>
      </c>
      <c r="Y64">
        <f>T64*Y61</f>
        <v>367.5</v>
      </c>
      <c r="Z64">
        <f>T64*Z61</f>
        <v>375</v>
      </c>
      <c r="AA64">
        <f>T64*AA61</f>
        <v>420</v>
      </c>
      <c r="AB64">
        <f>T64*AB61</f>
        <v>435</v>
      </c>
      <c r="AC64">
        <f>T64*AC61</f>
        <v>450</v>
      </c>
      <c r="AE64" t="s">
        <v>1382</v>
      </c>
      <c r="AF64">
        <f>AG64*AF61</f>
        <v>285</v>
      </c>
      <c r="AG64">
        <v>300</v>
      </c>
      <c r="AH64">
        <f>AG64*AH61</f>
        <v>345</v>
      </c>
      <c r="AI64">
        <f>AG64*AI61</f>
        <v>360</v>
      </c>
      <c r="AJ64">
        <f>AG64*AJ61</f>
        <v>405</v>
      </c>
    </row>
    <row r="65" spans="16:36">
      <c r="P65" t="s">
        <v>1383</v>
      </c>
      <c r="Q65">
        <f>T65*Q61</f>
        <v>180</v>
      </c>
      <c r="R65">
        <f>T65*R61</f>
        <v>280</v>
      </c>
      <c r="S65">
        <f>T65*S61</f>
        <v>340</v>
      </c>
      <c r="T65">
        <v>400</v>
      </c>
      <c r="U65" s="19">
        <f>T65*U61</f>
        <v>450</v>
      </c>
      <c r="V65">
        <f>T65*V61</f>
        <v>459.99999999999994</v>
      </c>
      <c r="W65">
        <f>T65*W61</f>
        <v>470</v>
      </c>
      <c r="X65">
        <f>T65*X61</f>
        <v>480</v>
      </c>
      <c r="Y65">
        <f>T65*Y61</f>
        <v>490.00000000000006</v>
      </c>
      <c r="Z65">
        <f>T65*Z61</f>
        <v>500</v>
      </c>
      <c r="AA65">
        <f>T65*AA61</f>
        <v>560</v>
      </c>
      <c r="AB65">
        <f>T65*AB61</f>
        <v>580</v>
      </c>
      <c r="AC65">
        <f>T65*AC61</f>
        <v>600</v>
      </c>
      <c r="AE65" t="s">
        <v>1383</v>
      </c>
      <c r="AF65">
        <f>AG65*AF61</f>
        <v>380</v>
      </c>
      <c r="AG65">
        <v>400</v>
      </c>
      <c r="AH65">
        <f>AG65*AH61</f>
        <v>459.99999999999994</v>
      </c>
      <c r="AI65">
        <f>AG65*AI61</f>
        <v>480</v>
      </c>
      <c r="AJ65">
        <f>AG65*AJ61</f>
        <v>540</v>
      </c>
    </row>
    <row r="66" spans="16:36">
      <c r="P66" t="s">
        <v>1384</v>
      </c>
      <c r="Q66">
        <f>T66*Q61</f>
        <v>202.5</v>
      </c>
      <c r="R66">
        <f>T66*R61</f>
        <v>315</v>
      </c>
      <c r="S66">
        <f>T66*S61</f>
        <v>382.5</v>
      </c>
      <c r="T66">
        <v>450</v>
      </c>
      <c r="U66">
        <f>T66*U61</f>
        <v>506.25</v>
      </c>
      <c r="V66" s="19">
        <f>T66*V61</f>
        <v>517.5</v>
      </c>
      <c r="W66">
        <f>T66*W61</f>
        <v>528.75</v>
      </c>
      <c r="X66">
        <f>T66*X61</f>
        <v>540</v>
      </c>
      <c r="Y66">
        <f>T66*Y61</f>
        <v>551.25</v>
      </c>
      <c r="Z66">
        <f>T66*Z61</f>
        <v>562.5</v>
      </c>
      <c r="AA66">
        <f>T66*AA61</f>
        <v>630</v>
      </c>
      <c r="AB66">
        <f>T66*AB61</f>
        <v>652.5</v>
      </c>
      <c r="AC66">
        <f>T66*AC61</f>
        <v>675</v>
      </c>
      <c r="AE66" t="s">
        <v>1384</v>
      </c>
      <c r="AF66">
        <f>AG66*AF61</f>
        <v>427.5</v>
      </c>
      <c r="AG66">
        <v>450</v>
      </c>
      <c r="AH66">
        <f>AG66*AH61</f>
        <v>517.5</v>
      </c>
      <c r="AI66">
        <f>AG66*AI61</f>
        <v>540</v>
      </c>
      <c r="AJ66">
        <f>AG66*AJ61</f>
        <v>607.5</v>
      </c>
    </row>
    <row r="67" spans="16:36">
      <c r="P67" t="s">
        <v>1385</v>
      </c>
      <c r="Q67">
        <f>T67*Q61</f>
        <v>213.75</v>
      </c>
      <c r="R67">
        <f>T67*R61</f>
        <v>332.5</v>
      </c>
      <c r="S67">
        <f>T67*S61</f>
        <v>403.75</v>
      </c>
      <c r="T67">
        <v>475</v>
      </c>
      <c r="U67">
        <f>T67*U61</f>
        <v>534.375</v>
      </c>
      <c r="V67">
        <f>T67*V61</f>
        <v>546.25</v>
      </c>
      <c r="W67">
        <f>T67*W61</f>
        <v>558.125</v>
      </c>
      <c r="X67">
        <f>T67*X61</f>
        <v>570</v>
      </c>
      <c r="Y67">
        <f>T67*Y61</f>
        <v>581.875</v>
      </c>
      <c r="Z67">
        <f>T67*Z61</f>
        <v>593.75</v>
      </c>
      <c r="AA67">
        <f>T67*AA61</f>
        <v>665</v>
      </c>
      <c r="AB67">
        <f>T67*AB61</f>
        <v>688.75</v>
      </c>
      <c r="AC67">
        <f>T67*AC61</f>
        <v>712.5</v>
      </c>
      <c r="AE67" t="s">
        <v>1385</v>
      </c>
      <c r="AF67">
        <f>AG67*AF61</f>
        <v>451.25</v>
      </c>
      <c r="AG67">
        <v>475</v>
      </c>
      <c r="AH67">
        <f>AG67*AH61</f>
        <v>546.25</v>
      </c>
      <c r="AI67">
        <f>AG67*AI61</f>
        <v>570</v>
      </c>
      <c r="AJ67">
        <f>AG67*AJ61</f>
        <v>641.25</v>
      </c>
    </row>
    <row r="68" spans="16:36">
      <c r="P68" t="s">
        <v>1386</v>
      </c>
      <c r="Q68">
        <f>T68*Q61</f>
        <v>225</v>
      </c>
      <c r="R68">
        <f>T68*R61</f>
        <v>350</v>
      </c>
      <c r="S68">
        <f>T68*S61</f>
        <v>425</v>
      </c>
      <c r="T68">
        <v>500</v>
      </c>
      <c r="U68">
        <f>T68*U61</f>
        <v>562.5</v>
      </c>
      <c r="V68">
        <f>T68*V61</f>
        <v>575</v>
      </c>
      <c r="W68">
        <f>T68*W61</f>
        <v>587.5</v>
      </c>
      <c r="X68">
        <f>T68*X61</f>
        <v>600</v>
      </c>
      <c r="Y68">
        <f>T68*Y61</f>
        <v>612.5</v>
      </c>
      <c r="Z68">
        <f>T68*Z61</f>
        <v>625</v>
      </c>
      <c r="AA68">
        <f>T68*AA61</f>
        <v>700</v>
      </c>
      <c r="AB68">
        <f>T68*AB61</f>
        <v>725</v>
      </c>
      <c r="AC68">
        <f>T68*AC61</f>
        <v>750</v>
      </c>
      <c r="AE68" t="s">
        <v>1386</v>
      </c>
      <c r="AF68">
        <f>AG68*AF61</f>
        <v>475</v>
      </c>
      <c r="AG68">
        <v>500</v>
      </c>
      <c r="AH68">
        <f>AG68*AH61</f>
        <v>575</v>
      </c>
      <c r="AI68">
        <f>AG68*AI61</f>
        <v>600</v>
      </c>
      <c r="AJ68">
        <f>AG68*AJ61</f>
        <v>675</v>
      </c>
    </row>
    <row r="69" spans="16:36">
      <c r="P69" t="s">
        <v>1387</v>
      </c>
      <c r="Q69">
        <f>T69*Q61</f>
        <v>236.25</v>
      </c>
      <c r="R69">
        <f>T69*R61</f>
        <v>367.5</v>
      </c>
      <c r="S69">
        <f>T69*S61</f>
        <v>446.25</v>
      </c>
      <c r="T69">
        <v>525</v>
      </c>
      <c r="U69">
        <f>T69*U61</f>
        <v>590.625</v>
      </c>
      <c r="V69">
        <f>T69*V61</f>
        <v>603.75</v>
      </c>
      <c r="W69">
        <f>T69*W61</f>
        <v>616.875</v>
      </c>
      <c r="X69">
        <f>T69*X61</f>
        <v>630</v>
      </c>
      <c r="Y69">
        <f>T69*Y61</f>
        <v>643.125</v>
      </c>
      <c r="Z69">
        <f>T69*Z61</f>
        <v>656.25</v>
      </c>
      <c r="AA69">
        <f>T69*AA61</f>
        <v>735</v>
      </c>
      <c r="AB69">
        <f>T69*AB61</f>
        <v>761.25</v>
      </c>
      <c r="AC69">
        <f>T69*AC61</f>
        <v>787.5</v>
      </c>
      <c r="AE69" t="s">
        <v>1387</v>
      </c>
      <c r="AF69">
        <f>AG69*AF61</f>
        <v>498.75</v>
      </c>
      <c r="AG69">
        <v>525</v>
      </c>
      <c r="AH69">
        <f>AG69*AH61</f>
        <v>603.75</v>
      </c>
      <c r="AI69">
        <f>AG69*AI61</f>
        <v>630</v>
      </c>
      <c r="AJ69">
        <f>AG69*AJ61</f>
        <v>708.75</v>
      </c>
    </row>
    <row r="71" spans="16:36">
      <c r="Q71">
        <v>0.45</v>
      </c>
      <c r="R71">
        <v>0.7</v>
      </c>
      <c r="S71">
        <v>0.85</v>
      </c>
      <c r="U71">
        <v>1.125</v>
      </c>
      <c r="V71">
        <v>1.1499999999999999</v>
      </c>
      <c r="W71">
        <v>1.175</v>
      </c>
      <c r="X71">
        <v>1.2</v>
      </c>
      <c r="Y71">
        <v>1.2250000000000001</v>
      </c>
      <c r="Z71">
        <v>1.25</v>
      </c>
      <c r="AA71">
        <v>1.4</v>
      </c>
      <c r="AB71">
        <v>1.45</v>
      </c>
      <c r="AC71">
        <v>1.5</v>
      </c>
      <c r="AF71">
        <v>0.95</v>
      </c>
      <c r="AH71">
        <v>1.1499999999999999</v>
      </c>
      <c r="AI71">
        <v>1.2</v>
      </c>
      <c r="AJ71">
        <v>1.35</v>
      </c>
    </row>
    <row r="72" spans="16:36">
      <c r="Q72" t="s">
        <v>1347</v>
      </c>
      <c r="R72" t="s">
        <v>1348</v>
      </c>
      <c r="S72" t="s">
        <v>1349</v>
      </c>
      <c r="T72" t="s">
        <v>1350</v>
      </c>
      <c r="U72" t="s">
        <v>1351</v>
      </c>
      <c r="V72" t="s">
        <v>1352</v>
      </c>
      <c r="W72" t="s">
        <v>1353</v>
      </c>
      <c r="X72" t="s">
        <v>1354</v>
      </c>
      <c r="Y72" t="s">
        <v>1355</v>
      </c>
      <c r="Z72" t="s">
        <v>1356</v>
      </c>
      <c r="AA72" t="s">
        <v>1357</v>
      </c>
      <c r="AB72" t="s">
        <v>1358</v>
      </c>
      <c r="AC72" t="s">
        <v>1359</v>
      </c>
      <c r="AF72" t="s">
        <v>1361</v>
      </c>
      <c r="AG72" t="s">
        <v>1362</v>
      </c>
      <c r="AH72" t="s">
        <v>1363</v>
      </c>
      <c r="AI72" t="s">
        <v>1364</v>
      </c>
      <c r="AJ72" t="s">
        <v>1365</v>
      </c>
    </row>
    <row r="73" spans="16:36">
      <c r="P73" t="s">
        <v>1388</v>
      </c>
      <c r="Q73">
        <f>T73*Q71</f>
        <v>225</v>
      </c>
      <c r="R73">
        <f>T73*R71</f>
        <v>350</v>
      </c>
      <c r="S73">
        <f>T73*S71</f>
        <v>425</v>
      </c>
      <c r="T73">
        <f>T67+25</f>
        <v>500</v>
      </c>
      <c r="U73">
        <f>T73*U71</f>
        <v>562.5</v>
      </c>
      <c r="V73">
        <f>T73*V71</f>
        <v>575</v>
      </c>
      <c r="W73">
        <f>T73*W71</f>
        <v>587.5</v>
      </c>
      <c r="X73">
        <f>T73*X71</f>
        <v>600</v>
      </c>
      <c r="Y73">
        <f>T73*Y71</f>
        <v>612.5</v>
      </c>
      <c r="Z73">
        <f>T73*Z71</f>
        <v>625</v>
      </c>
      <c r="AA73">
        <f>T73*AA71</f>
        <v>700</v>
      </c>
      <c r="AB73">
        <f>T73*AB71</f>
        <v>725</v>
      </c>
      <c r="AC73">
        <f>T73*AC71</f>
        <v>750</v>
      </c>
      <c r="AE73" t="s">
        <v>1388</v>
      </c>
      <c r="AF73">
        <f>AG73*AF71</f>
        <v>475</v>
      </c>
      <c r="AG73">
        <f>AG67+25</f>
        <v>500</v>
      </c>
      <c r="AH73">
        <f>AG73*AH71</f>
        <v>575</v>
      </c>
      <c r="AI73">
        <f>AG73*AI71</f>
        <v>600</v>
      </c>
      <c r="AJ73">
        <f>AG73*AJ71</f>
        <v>675</v>
      </c>
    </row>
    <row r="74" spans="16:36">
      <c r="P74" t="s">
        <v>1389</v>
      </c>
      <c r="Q74">
        <f>T74*Q71</f>
        <v>236.25</v>
      </c>
      <c r="R74">
        <f>T74*R71</f>
        <v>367.5</v>
      </c>
      <c r="S74">
        <f>T74*S71</f>
        <v>446.25</v>
      </c>
      <c r="T74">
        <f>T68+25</f>
        <v>525</v>
      </c>
      <c r="U74">
        <f>T74*U71</f>
        <v>590.625</v>
      </c>
      <c r="V74">
        <f>T74*V71</f>
        <v>603.75</v>
      </c>
      <c r="W74">
        <f>T74*W71</f>
        <v>616.875</v>
      </c>
      <c r="X74">
        <f>T74*X71</f>
        <v>630</v>
      </c>
      <c r="Y74">
        <f>T74*Y71</f>
        <v>643.125</v>
      </c>
      <c r="Z74">
        <f>T74*Z71</f>
        <v>656.25</v>
      </c>
      <c r="AA74">
        <f>T74*AA71</f>
        <v>735</v>
      </c>
      <c r="AB74">
        <f>T74*AB71</f>
        <v>761.25</v>
      </c>
      <c r="AC74">
        <f>T74*AC71</f>
        <v>787.5</v>
      </c>
      <c r="AE74" t="s">
        <v>1389</v>
      </c>
      <c r="AF74">
        <f>AG74*AF71</f>
        <v>498.75</v>
      </c>
      <c r="AG74">
        <f>AG68+25</f>
        <v>525</v>
      </c>
      <c r="AH74">
        <f>AG74*AH71</f>
        <v>603.75</v>
      </c>
      <c r="AI74">
        <f>AG74*AI71</f>
        <v>630</v>
      </c>
      <c r="AJ74">
        <f>AG74*AJ71</f>
        <v>708.75</v>
      </c>
    </row>
    <row r="75" spans="16:36">
      <c r="P75" t="s">
        <v>1390</v>
      </c>
      <c r="Q75">
        <f>T75*Q71</f>
        <v>247.5</v>
      </c>
      <c r="R75">
        <f>T75*R71</f>
        <v>385</v>
      </c>
      <c r="S75">
        <f>T75*S71</f>
        <v>467.5</v>
      </c>
      <c r="T75">
        <f>T69+25</f>
        <v>550</v>
      </c>
      <c r="U75">
        <f>T75*U71</f>
        <v>618.75</v>
      </c>
      <c r="V75">
        <f>T75*V71</f>
        <v>632.5</v>
      </c>
      <c r="W75">
        <f>T75*W71</f>
        <v>646.25</v>
      </c>
      <c r="X75">
        <f>T75*X71</f>
        <v>660</v>
      </c>
      <c r="Y75">
        <f>T75*Y71</f>
        <v>673.75</v>
      </c>
      <c r="Z75">
        <f>T75*Z71</f>
        <v>687.5</v>
      </c>
      <c r="AA75">
        <f>T75*AA71</f>
        <v>770</v>
      </c>
      <c r="AB75">
        <f>T75*AB71</f>
        <v>797.5</v>
      </c>
      <c r="AC75">
        <f>T75*AC71</f>
        <v>825</v>
      </c>
      <c r="AE75" t="s">
        <v>1390</v>
      </c>
      <c r="AF75">
        <f>AG75*AF71</f>
        <v>522.5</v>
      </c>
      <c r="AG75">
        <f>AG69+25</f>
        <v>550</v>
      </c>
      <c r="AH75">
        <f>AG75*AH71</f>
        <v>632.5</v>
      </c>
      <c r="AI75">
        <f>AG75*AI71</f>
        <v>660</v>
      </c>
      <c r="AJ75">
        <f>AG75*AJ71</f>
        <v>742.5</v>
      </c>
    </row>
    <row r="77" spans="16:36">
      <c r="Q77">
        <v>0.45</v>
      </c>
      <c r="R77">
        <v>0.7</v>
      </c>
      <c r="S77">
        <v>0.85</v>
      </c>
      <c r="U77">
        <v>1.125</v>
      </c>
      <c r="V77">
        <v>1.1499999999999999</v>
      </c>
      <c r="W77">
        <v>1.175</v>
      </c>
      <c r="X77">
        <v>1.2</v>
      </c>
      <c r="Y77">
        <v>1.2250000000000001</v>
      </c>
      <c r="Z77">
        <v>1.25</v>
      </c>
      <c r="AA77">
        <v>1.4</v>
      </c>
      <c r="AB77">
        <v>1.45</v>
      </c>
      <c r="AC77">
        <v>1.5</v>
      </c>
      <c r="AF77">
        <v>0.95</v>
      </c>
      <c r="AH77">
        <v>1.1499999999999999</v>
      </c>
      <c r="AI77">
        <v>1.2</v>
      </c>
      <c r="AJ77">
        <v>1.35</v>
      </c>
    </row>
    <row r="78" spans="16:36">
      <c r="Q78" t="s">
        <v>1347</v>
      </c>
      <c r="R78" t="s">
        <v>1348</v>
      </c>
      <c r="S78" t="s">
        <v>1349</v>
      </c>
      <c r="T78" t="s">
        <v>1350</v>
      </c>
      <c r="U78" t="s">
        <v>1351</v>
      </c>
      <c r="V78" t="s">
        <v>1352</v>
      </c>
      <c r="W78" t="s">
        <v>1353</v>
      </c>
      <c r="X78" t="s">
        <v>1354</v>
      </c>
      <c r="Y78" t="s">
        <v>1355</v>
      </c>
      <c r="Z78" t="s">
        <v>1356</v>
      </c>
      <c r="AA78" t="s">
        <v>1357</v>
      </c>
      <c r="AB78" t="s">
        <v>1358</v>
      </c>
      <c r="AC78" t="s">
        <v>1359</v>
      </c>
      <c r="AF78" t="s">
        <v>1361</v>
      </c>
      <c r="AG78" t="s">
        <v>1362</v>
      </c>
      <c r="AH78" t="s">
        <v>1363</v>
      </c>
      <c r="AI78" t="s">
        <v>1364</v>
      </c>
      <c r="AJ78" t="s">
        <v>1365</v>
      </c>
    </row>
    <row r="79" spans="16:36">
      <c r="P79" t="s">
        <v>1391</v>
      </c>
      <c r="Q79">
        <f>T79*Q77</f>
        <v>123.75</v>
      </c>
      <c r="R79">
        <f>T79*R77</f>
        <v>192.5</v>
      </c>
      <c r="S79">
        <f>T79*S77</f>
        <v>233.75</v>
      </c>
      <c r="T79">
        <f>T67-200</f>
        <v>275</v>
      </c>
      <c r="U79">
        <f>T79*U77</f>
        <v>309.375</v>
      </c>
      <c r="V79">
        <f>T79*V77</f>
        <v>316.25</v>
      </c>
      <c r="W79">
        <f>T79*W77</f>
        <v>323.125</v>
      </c>
      <c r="X79">
        <f>T79*X77</f>
        <v>330</v>
      </c>
      <c r="Y79">
        <f>T79*Y77</f>
        <v>336.875</v>
      </c>
      <c r="Z79">
        <f>T79*Z77</f>
        <v>343.75</v>
      </c>
      <c r="AA79">
        <f>T79*AA77</f>
        <v>385</v>
      </c>
      <c r="AB79">
        <f>T79*AB77</f>
        <v>398.75</v>
      </c>
      <c r="AC79">
        <f>T79*AC77</f>
        <v>412.5</v>
      </c>
      <c r="AE79" t="s">
        <v>1391</v>
      </c>
      <c r="AF79">
        <f>AG79*AF77</f>
        <v>308.75</v>
      </c>
      <c r="AG79">
        <f>AG67-150</f>
        <v>325</v>
      </c>
      <c r="AH79">
        <f>AG79*AH77</f>
        <v>373.74999999999994</v>
      </c>
      <c r="AI79">
        <f>AG79*AI77</f>
        <v>390</v>
      </c>
      <c r="AJ79">
        <f>AG79*AJ77</f>
        <v>438.75000000000006</v>
      </c>
    </row>
    <row r="80" spans="16:36">
      <c r="P80" t="s">
        <v>1392</v>
      </c>
      <c r="Q80">
        <f>T80*Q77</f>
        <v>135</v>
      </c>
      <c r="R80">
        <f>T80*R77</f>
        <v>210</v>
      </c>
      <c r="S80">
        <f>T80*S77</f>
        <v>255</v>
      </c>
      <c r="T80">
        <f>T68-200</f>
        <v>300</v>
      </c>
      <c r="U80">
        <f>T80*U77</f>
        <v>337.5</v>
      </c>
      <c r="V80">
        <f>T80*V77</f>
        <v>345</v>
      </c>
      <c r="W80">
        <f>T80*W77</f>
        <v>352.5</v>
      </c>
      <c r="X80">
        <f>T80*X77</f>
        <v>360</v>
      </c>
      <c r="Y80">
        <f>T80*Y77</f>
        <v>367.5</v>
      </c>
      <c r="Z80">
        <f>T80*Z77</f>
        <v>375</v>
      </c>
      <c r="AA80">
        <f>T80*AA77</f>
        <v>420</v>
      </c>
      <c r="AB80">
        <f>T80*AB77</f>
        <v>435</v>
      </c>
      <c r="AC80">
        <f>T80*AC77</f>
        <v>450</v>
      </c>
      <c r="AE80" t="s">
        <v>1392</v>
      </c>
      <c r="AF80">
        <f>AG80*AF77</f>
        <v>332.5</v>
      </c>
      <c r="AG80">
        <f>AG68-150</f>
        <v>350</v>
      </c>
      <c r="AH80">
        <f>AG80*AH77</f>
        <v>402.49999999999994</v>
      </c>
      <c r="AI80">
        <f>AG80*AI77</f>
        <v>420</v>
      </c>
      <c r="AJ80">
        <f>AG80*AJ77</f>
        <v>472.50000000000006</v>
      </c>
    </row>
    <row r="81" spans="1:44">
      <c r="P81" t="s">
        <v>1393</v>
      </c>
      <c r="Q81">
        <f>T81*Q77</f>
        <v>146.25</v>
      </c>
      <c r="R81">
        <f>T81*R77</f>
        <v>227.49999999999997</v>
      </c>
      <c r="S81">
        <f>T81*S77</f>
        <v>276.25</v>
      </c>
      <c r="T81">
        <f>T69-200</f>
        <v>325</v>
      </c>
      <c r="U81">
        <f>T81*U77</f>
        <v>365.625</v>
      </c>
      <c r="V81">
        <f>T81*V77</f>
        <v>373.74999999999994</v>
      </c>
      <c r="W81">
        <f>T81*W77</f>
        <v>381.875</v>
      </c>
      <c r="X81">
        <f>T81*X77</f>
        <v>390</v>
      </c>
      <c r="Y81">
        <f>T81*Y77</f>
        <v>398.12500000000006</v>
      </c>
      <c r="Z81">
        <f>T81*Z77</f>
        <v>406.25</v>
      </c>
      <c r="AA81">
        <f>T81*AA77</f>
        <v>454.99999999999994</v>
      </c>
      <c r="AB81">
        <f>T81*AB77</f>
        <v>471.25</v>
      </c>
      <c r="AC81">
        <f>T81*AC77</f>
        <v>487.5</v>
      </c>
      <c r="AE81" t="s">
        <v>1393</v>
      </c>
      <c r="AF81">
        <f>AG81*AF77</f>
        <v>356.25</v>
      </c>
      <c r="AG81">
        <f>AG69-150</f>
        <v>375</v>
      </c>
      <c r="AH81">
        <f>AG81*AH77</f>
        <v>431.24999999999994</v>
      </c>
      <c r="AI81">
        <f>AG81*AI77</f>
        <v>450</v>
      </c>
      <c r="AJ81">
        <f>AG81*AJ77</f>
        <v>506.25000000000006</v>
      </c>
    </row>
    <row r="88" spans="1:44">
      <c r="P88" t="s">
        <v>1394</v>
      </c>
    </row>
    <row r="91" spans="1:44">
      <c r="B91">
        <v>0.45</v>
      </c>
      <c r="C91">
        <v>0.7</v>
      </c>
      <c r="D91">
        <v>0.85</v>
      </c>
      <c r="F91">
        <v>1.125</v>
      </c>
      <c r="G91">
        <v>1.1499999999999999</v>
      </c>
      <c r="H91">
        <v>1.175</v>
      </c>
      <c r="I91">
        <v>1.2</v>
      </c>
      <c r="J91">
        <v>1.2250000000000001</v>
      </c>
      <c r="K91">
        <v>1.25</v>
      </c>
      <c r="L91">
        <v>1.4</v>
      </c>
      <c r="M91">
        <v>1.45</v>
      </c>
      <c r="N91">
        <v>1.5</v>
      </c>
      <c r="Q91">
        <v>0.95</v>
      </c>
      <c r="S91">
        <v>1.1499999999999999</v>
      </c>
      <c r="T91">
        <v>1.2</v>
      </c>
      <c r="U91">
        <v>1.35</v>
      </c>
      <c r="Y91">
        <v>0.45</v>
      </c>
      <c r="Z91">
        <v>0.7</v>
      </c>
      <c r="AA91">
        <v>0.85</v>
      </c>
      <c r="AC91">
        <v>1.125</v>
      </c>
      <c r="AD91">
        <v>1.1499999999999999</v>
      </c>
      <c r="AE91">
        <v>1.175</v>
      </c>
      <c r="AF91">
        <v>1.2</v>
      </c>
      <c r="AG91">
        <v>1.2250000000000001</v>
      </c>
      <c r="AH91">
        <v>1.25</v>
      </c>
      <c r="AI91" s="52">
        <v>1.4</v>
      </c>
      <c r="AJ91" s="52">
        <v>1.45</v>
      </c>
      <c r="AK91" s="52">
        <v>1.5</v>
      </c>
      <c r="AN91">
        <v>0.95</v>
      </c>
      <c r="AP91">
        <v>1.1499999999999999</v>
      </c>
      <c r="AQ91">
        <v>1.2</v>
      </c>
      <c r="AR91">
        <v>1.35</v>
      </c>
    </row>
    <row r="92" spans="1:44">
      <c r="B92" t="s">
        <v>1347</v>
      </c>
      <c r="C92" t="s">
        <v>1348</v>
      </c>
      <c r="D92" t="s">
        <v>1349</v>
      </c>
      <c r="E92" t="s">
        <v>1350</v>
      </c>
      <c r="F92" t="s">
        <v>1351</v>
      </c>
      <c r="G92" t="s">
        <v>1352</v>
      </c>
      <c r="H92" t="s">
        <v>1353</v>
      </c>
      <c r="I92" t="s">
        <v>1354</v>
      </c>
      <c r="J92" t="s">
        <v>1355</v>
      </c>
      <c r="K92" t="s">
        <v>1356</v>
      </c>
      <c r="L92" t="s">
        <v>1357</v>
      </c>
      <c r="M92" t="s">
        <v>1358</v>
      </c>
      <c r="N92" t="s">
        <v>1359</v>
      </c>
      <c r="Q92" t="s">
        <v>1361</v>
      </c>
      <c r="R92" t="s">
        <v>1362</v>
      </c>
      <c r="S92" t="s">
        <v>1363</v>
      </c>
      <c r="T92" t="s">
        <v>1364</v>
      </c>
      <c r="U92" t="s">
        <v>1365</v>
      </c>
      <c r="Y92" t="s">
        <v>1347</v>
      </c>
      <c r="Z92" t="s">
        <v>1348</v>
      </c>
      <c r="AA92" t="s">
        <v>1349</v>
      </c>
      <c r="AB92" t="s">
        <v>1350</v>
      </c>
      <c r="AC92" t="s">
        <v>1351</v>
      </c>
      <c r="AD92" t="s">
        <v>1352</v>
      </c>
      <c r="AE92" t="s">
        <v>1353</v>
      </c>
      <c r="AF92" t="s">
        <v>1354</v>
      </c>
      <c r="AG92" t="s">
        <v>1355</v>
      </c>
      <c r="AH92" t="s">
        <v>1356</v>
      </c>
      <c r="AI92" t="s">
        <v>1357</v>
      </c>
      <c r="AJ92" t="s">
        <v>1358</v>
      </c>
      <c r="AK92" t="s">
        <v>1359</v>
      </c>
      <c r="AN92" t="s">
        <v>1361</v>
      </c>
      <c r="AO92" t="s">
        <v>1362</v>
      </c>
      <c r="AP92" t="s">
        <v>1363</v>
      </c>
      <c r="AQ92" t="s">
        <v>1364</v>
      </c>
      <c r="AR92" t="s">
        <v>1365</v>
      </c>
    </row>
    <row r="93" spans="1:44">
      <c r="A93" t="s">
        <v>1360</v>
      </c>
      <c r="B93" t="s">
        <v>1395</v>
      </c>
      <c r="C93" t="s">
        <v>1396</v>
      </c>
      <c r="D93" t="s">
        <v>1397</v>
      </c>
      <c r="E93">
        <v>140</v>
      </c>
      <c r="P93" t="s">
        <v>1360</v>
      </c>
      <c r="Q93" t="s">
        <v>1398</v>
      </c>
      <c r="R93">
        <v>244</v>
      </c>
      <c r="S93" t="s">
        <v>1399</v>
      </c>
      <c r="T93" t="s">
        <v>1400</v>
      </c>
      <c r="X93" t="s">
        <v>1360</v>
      </c>
      <c r="Y93" s="19">
        <f>AB93*Y91</f>
        <v>67.5</v>
      </c>
      <c r="Z93" s="19">
        <f>AB93*Z91</f>
        <v>105</v>
      </c>
      <c r="AA93" s="19">
        <f>AB93*AA91</f>
        <v>127.5</v>
      </c>
      <c r="AB93" s="15">
        <v>150</v>
      </c>
      <c r="AC93">
        <f>AB93*AC91</f>
        <v>168.75</v>
      </c>
      <c r="AD93">
        <f>AB93*AD91</f>
        <v>172.5</v>
      </c>
      <c r="AE93">
        <f>AB93*AE91</f>
        <v>176.25</v>
      </c>
      <c r="AF93">
        <f>AB93*AF91</f>
        <v>180</v>
      </c>
      <c r="AG93">
        <f>AB93*AG91</f>
        <v>183.75</v>
      </c>
      <c r="AH93">
        <f>AB93*AH91</f>
        <v>187.5</v>
      </c>
      <c r="AI93">
        <f>AB93*AI91</f>
        <v>210</v>
      </c>
      <c r="AJ93">
        <f>AB93*AJ91</f>
        <v>217.5</v>
      </c>
      <c r="AK93">
        <f>AB93*AK91</f>
        <v>225</v>
      </c>
      <c r="AM93" t="s">
        <v>1360</v>
      </c>
      <c r="AN93" s="52">
        <f>AO93*AN91</f>
        <v>142.5</v>
      </c>
      <c r="AO93" s="15">
        <v>150</v>
      </c>
      <c r="AP93" s="52">
        <f>AO93*AP91</f>
        <v>172.5</v>
      </c>
      <c r="AQ93" s="52">
        <f>AO93*AQ91</f>
        <v>180</v>
      </c>
      <c r="AR93" s="52">
        <f>AO93*AR91</f>
        <v>202.5</v>
      </c>
    </row>
    <row r="94" spans="1:44">
      <c r="A94" t="s">
        <v>1366</v>
      </c>
      <c r="E94">
        <v>218</v>
      </c>
      <c r="P94" t="s">
        <v>1366</v>
      </c>
      <c r="X94" t="s">
        <v>1366</v>
      </c>
      <c r="Y94">
        <f>AB94*Y91</f>
        <v>90</v>
      </c>
      <c r="Z94">
        <f>AB94*Z91</f>
        <v>140</v>
      </c>
      <c r="AA94">
        <f>AB94*AA91</f>
        <v>170</v>
      </c>
      <c r="AB94">
        <f>AB93+50</f>
        <v>200</v>
      </c>
      <c r="AC94">
        <f>AB94*AC91</f>
        <v>225</v>
      </c>
      <c r="AD94">
        <f>AB94*AD91</f>
        <v>229.99999999999997</v>
      </c>
      <c r="AE94">
        <f>AB94*AE91</f>
        <v>235</v>
      </c>
      <c r="AF94">
        <f>AB94*AF91</f>
        <v>240</v>
      </c>
      <c r="AG94">
        <f>AB94*AG91</f>
        <v>245.00000000000003</v>
      </c>
      <c r="AH94">
        <f>AB94*AH91</f>
        <v>250</v>
      </c>
      <c r="AI94">
        <f>AB94*AI91</f>
        <v>280</v>
      </c>
      <c r="AJ94">
        <f>AB94*AJ91</f>
        <v>290</v>
      </c>
      <c r="AK94">
        <f>AB94*AK91</f>
        <v>300</v>
      </c>
      <c r="AM94" t="s">
        <v>1366</v>
      </c>
      <c r="AN94">
        <f>AO94*AN91</f>
        <v>190</v>
      </c>
      <c r="AO94">
        <f>AO93+50</f>
        <v>200</v>
      </c>
      <c r="AP94" s="52">
        <f>AO94*AP91</f>
        <v>229.99999999999997</v>
      </c>
      <c r="AQ94" s="52">
        <f>AO94*AQ91</f>
        <v>240</v>
      </c>
      <c r="AR94" s="52">
        <f>AO94*AR91</f>
        <v>270</v>
      </c>
    </row>
    <row r="95" spans="1:44">
      <c r="A95" t="s">
        <v>1367</v>
      </c>
      <c r="E95" t="s">
        <v>1401</v>
      </c>
      <c r="F95">
        <v>287</v>
      </c>
      <c r="P95" t="s">
        <v>1367</v>
      </c>
      <c r="S95">
        <v>321</v>
      </c>
      <c r="X95" t="s">
        <v>1367</v>
      </c>
      <c r="Y95">
        <f>AB95*Y91</f>
        <v>112.5</v>
      </c>
      <c r="Z95">
        <f>AB95*Z91</f>
        <v>175</v>
      </c>
      <c r="AA95">
        <f>AB95*AA91</f>
        <v>212.5</v>
      </c>
      <c r="AB95">
        <f>AB94+50</f>
        <v>250</v>
      </c>
      <c r="AC95" s="19">
        <f>AB95*AC91</f>
        <v>281.25</v>
      </c>
      <c r="AD95">
        <f>AB95*AD91</f>
        <v>287.5</v>
      </c>
      <c r="AE95">
        <f>AB95*AE91</f>
        <v>293.75</v>
      </c>
      <c r="AF95">
        <f>AB95*AF91</f>
        <v>300</v>
      </c>
      <c r="AG95">
        <f>AB95*AG91</f>
        <v>306.25</v>
      </c>
      <c r="AH95">
        <f>AB95*AH91</f>
        <v>312.5</v>
      </c>
      <c r="AI95">
        <f>AB95*AI91</f>
        <v>350</v>
      </c>
      <c r="AJ95">
        <f>AB95*AJ91</f>
        <v>362.5</v>
      </c>
      <c r="AK95">
        <f>AB95*AK91</f>
        <v>375</v>
      </c>
      <c r="AM95" t="s">
        <v>1367</v>
      </c>
      <c r="AN95">
        <f>AO95*AN91</f>
        <v>237.5</v>
      </c>
      <c r="AO95">
        <f>AO94+50</f>
        <v>250</v>
      </c>
      <c r="AP95" s="52">
        <f>AO95*AP91</f>
        <v>287.5</v>
      </c>
      <c r="AQ95" s="52">
        <f>AO95*AQ91</f>
        <v>300</v>
      </c>
      <c r="AR95" s="52">
        <f>AO95*AR91</f>
        <v>337.5</v>
      </c>
    </row>
    <row r="96" spans="1:44">
      <c r="A96" t="s">
        <v>1368</v>
      </c>
      <c r="F96" t="s">
        <v>1402</v>
      </c>
      <c r="G96">
        <v>270</v>
      </c>
      <c r="P96" t="s">
        <v>1368</v>
      </c>
      <c r="U96">
        <v>340</v>
      </c>
      <c r="X96" t="s">
        <v>1368</v>
      </c>
      <c r="Y96">
        <f>AB96*Y91</f>
        <v>135</v>
      </c>
      <c r="Z96">
        <f>AB96*Z91</f>
        <v>210</v>
      </c>
      <c r="AA96">
        <f>AB96*AA91</f>
        <v>255</v>
      </c>
      <c r="AB96">
        <f>AB95+50</f>
        <v>300</v>
      </c>
      <c r="AC96" s="19">
        <f>AB96*AC91</f>
        <v>337.5</v>
      </c>
      <c r="AD96" s="52">
        <f>AB96*AD91</f>
        <v>345</v>
      </c>
      <c r="AE96" s="52">
        <f>AB96*AE91</f>
        <v>352.5</v>
      </c>
      <c r="AF96" s="52">
        <f>AB96*AF91</f>
        <v>360</v>
      </c>
      <c r="AG96" s="52">
        <f>AB96*AG91</f>
        <v>367.5</v>
      </c>
      <c r="AH96" s="52">
        <f>AB96*AH91</f>
        <v>375</v>
      </c>
      <c r="AI96">
        <f>AB96*AI91</f>
        <v>420</v>
      </c>
      <c r="AJ96">
        <f>AB96*AJ91</f>
        <v>435</v>
      </c>
      <c r="AK96">
        <f>AB96*AK91</f>
        <v>450</v>
      </c>
      <c r="AM96" t="s">
        <v>1368</v>
      </c>
      <c r="AN96">
        <f>AO96*AN91</f>
        <v>285</v>
      </c>
      <c r="AO96">
        <f>AO95+50</f>
        <v>300</v>
      </c>
      <c r="AP96" s="52">
        <f>AO96*AP91</f>
        <v>345</v>
      </c>
      <c r="AQ96" s="52">
        <f>AO96*AQ91</f>
        <v>360</v>
      </c>
      <c r="AR96" s="52">
        <f>AO96*AR91</f>
        <v>405</v>
      </c>
    </row>
    <row r="97" spans="1:44">
      <c r="A97" t="s">
        <v>1369</v>
      </c>
      <c r="E97" t="s">
        <v>1403</v>
      </c>
      <c r="F97" t="s">
        <v>1404</v>
      </c>
      <c r="G97" t="s">
        <v>1405</v>
      </c>
      <c r="P97" t="s">
        <v>1369</v>
      </c>
      <c r="X97" t="s">
        <v>1369</v>
      </c>
      <c r="Y97">
        <f>AB97*Y91</f>
        <v>168.75</v>
      </c>
      <c r="Z97">
        <f>AB97*Z91</f>
        <v>262.5</v>
      </c>
      <c r="AA97">
        <f>AB97*AA91</f>
        <v>318.75</v>
      </c>
      <c r="AB97">
        <f>AB96+75</f>
        <v>375</v>
      </c>
      <c r="AC97">
        <f>AB97*AC91</f>
        <v>421.875</v>
      </c>
      <c r="AD97" s="19">
        <f>AB97*AD91</f>
        <v>431.24999999999994</v>
      </c>
      <c r="AE97" s="52">
        <f>AB97*AE91</f>
        <v>440.625</v>
      </c>
      <c r="AF97" s="52">
        <f>AB97*AF91</f>
        <v>450</v>
      </c>
      <c r="AG97" s="52">
        <f>AB97*AG91</f>
        <v>459.37500000000006</v>
      </c>
      <c r="AH97" s="52">
        <f>AB97*AH91</f>
        <v>468.75</v>
      </c>
      <c r="AI97">
        <f>AB97*AI91</f>
        <v>525</v>
      </c>
      <c r="AJ97">
        <f>AB97*AJ91</f>
        <v>543.75</v>
      </c>
      <c r="AK97">
        <f>AB97*AK91</f>
        <v>562.5</v>
      </c>
      <c r="AM97" t="s">
        <v>1369</v>
      </c>
      <c r="AN97">
        <f>AO97*AN91</f>
        <v>356.25</v>
      </c>
      <c r="AO97">
        <f>AO96+75</f>
        <v>375</v>
      </c>
      <c r="AP97" s="52">
        <f>AO97*AP91</f>
        <v>431.24999999999994</v>
      </c>
      <c r="AQ97" s="52">
        <f>AO97*AQ91</f>
        <v>450</v>
      </c>
      <c r="AR97" s="52">
        <f>AO97*AR91</f>
        <v>506.25000000000006</v>
      </c>
    </row>
    <row r="98" spans="1:44">
      <c r="A98" t="s">
        <v>1370</v>
      </c>
      <c r="G98">
        <v>520</v>
      </c>
      <c r="H98" t="s">
        <v>1406</v>
      </c>
      <c r="L98">
        <v>665</v>
      </c>
      <c r="P98" t="s">
        <v>1370</v>
      </c>
      <c r="X98" t="s">
        <v>1370</v>
      </c>
      <c r="Y98">
        <f>AB98*Y91</f>
        <v>202.5</v>
      </c>
      <c r="Z98">
        <f>AB98*Z91</f>
        <v>315</v>
      </c>
      <c r="AA98">
        <f>AB98*AA91</f>
        <v>382.5</v>
      </c>
      <c r="AB98">
        <f>AB97+75</f>
        <v>450</v>
      </c>
      <c r="AC98">
        <f>AB98*AC91</f>
        <v>506.25</v>
      </c>
      <c r="AD98" s="52">
        <f>AB98*AD91</f>
        <v>517.5</v>
      </c>
      <c r="AE98" s="19">
        <f>AB98*AE91</f>
        <v>528.75</v>
      </c>
      <c r="AF98" s="52">
        <f>AB98*AF91</f>
        <v>540</v>
      </c>
      <c r="AG98" s="52">
        <f>AB98*AG91</f>
        <v>551.25</v>
      </c>
      <c r="AH98" s="52">
        <f>AB98*AH91</f>
        <v>562.5</v>
      </c>
      <c r="AI98" s="19">
        <f>AB98*AI91</f>
        <v>630</v>
      </c>
      <c r="AJ98">
        <f>AB98*AJ91</f>
        <v>652.5</v>
      </c>
      <c r="AK98">
        <f>AB98*AK91</f>
        <v>675</v>
      </c>
      <c r="AM98" t="s">
        <v>1370</v>
      </c>
      <c r="AN98">
        <f>AO98*AN91</f>
        <v>427.5</v>
      </c>
      <c r="AO98">
        <f>AO97+75</f>
        <v>450</v>
      </c>
      <c r="AP98" s="52">
        <f>AO98*AP91</f>
        <v>517.5</v>
      </c>
      <c r="AQ98" s="52">
        <f>AO98*AQ91</f>
        <v>540</v>
      </c>
      <c r="AR98" s="52">
        <f>AO98*AR91</f>
        <v>607.5</v>
      </c>
    </row>
    <row r="99" spans="1:44">
      <c r="A99" t="s">
        <v>1371</v>
      </c>
      <c r="E99">
        <v>510</v>
      </c>
      <c r="I99" t="s">
        <v>1407</v>
      </c>
      <c r="P99" t="s">
        <v>1371</v>
      </c>
      <c r="X99" t="s">
        <v>1371</v>
      </c>
      <c r="Y99">
        <f>AB99*Y91</f>
        <v>247.5</v>
      </c>
      <c r="Z99">
        <f>AB99*Z91</f>
        <v>385</v>
      </c>
      <c r="AA99">
        <f>AB99*AA91</f>
        <v>467.5</v>
      </c>
      <c r="AB99">
        <f>AB98+100</f>
        <v>550</v>
      </c>
      <c r="AC99">
        <f>AB99*AC91</f>
        <v>618.75</v>
      </c>
      <c r="AD99" s="52">
        <f>AB99*AD91</f>
        <v>632.5</v>
      </c>
      <c r="AE99" s="52">
        <f>AB99*AE91</f>
        <v>646.25</v>
      </c>
      <c r="AF99" s="19">
        <f>AB99*AF91</f>
        <v>660</v>
      </c>
      <c r="AG99" s="52">
        <f>AB99*AG91</f>
        <v>673.75</v>
      </c>
      <c r="AH99" s="52">
        <f>AB99*AH91</f>
        <v>687.5</v>
      </c>
      <c r="AI99">
        <f>AB99*AI91</f>
        <v>770</v>
      </c>
      <c r="AJ99">
        <f>AB99*AJ91</f>
        <v>797.5</v>
      </c>
      <c r="AK99">
        <f>AB99*AK91</f>
        <v>825</v>
      </c>
      <c r="AM99" t="s">
        <v>1371</v>
      </c>
      <c r="AN99">
        <f>AO99*AN91</f>
        <v>522.5</v>
      </c>
      <c r="AO99">
        <f>AO98+100</f>
        <v>550</v>
      </c>
      <c r="AP99" s="52">
        <f>AO99*AP91</f>
        <v>632.5</v>
      </c>
      <c r="AQ99" s="52">
        <f>AO99*AQ91</f>
        <v>660</v>
      </c>
      <c r="AR99" s="52">
        <f>AO99*AR91</f>
        <v>742.5</v>
      </c>
    </row>
    <row r="100" spans="1:44">
      <c r="A100" t="s">
        <v>1372</v>
      </c>
      <c r="P100" t="s">
        <v>1372</v>
      </c>
      <c r="X100" t="s">
        <v>1372</v>
      </c>
      <c r="Y100">
        <f>AB100*Y91</f>
        <v>292.5</v>
      </c>
      <c r="Z100">
        <f>AB100*Z91</f>
        <v>454.99999999999994</v>
      </c>
      <c r="AA100">
        <f>AB100*AA91</f>
        <v>552.5</v>
      </c>
      <c r="AB100">
        <f t="shared" ref="AB100:AB101" si="0">AB99+100</f>
        <v>650</v>
      </c>
      <c r="AC100">
        <f>AB100*AC91</f>
        <v>731.25</v>
      </c>
      <c r="AD100" s="52">
        <f>AB100*AD91</f>
        <v>747.49999999999989</v>
      </c>
      <c r="AE100" s="52">
        <f>AB100*AE91</f>
        <v>763.75</v>
      </c>
      <c r="AF100" s="52">
        <f>AB100*AF91</f>
        <v>780</v>
      </c>
      <c r="AG100" s="19">
        <f>AB100*AG91</f>
        <v>796.25000000000011</v>
      </c>
      <c r="AH100" s="52">
        <f>AB100*AH91</f>
        <v>812.5</v>
      </c>
      <c r="AI100">
        <f>AB100*AI91</f>
        <v>909.99999999999989</v>
      </c>
      <c r="AJ100">
        <f>AB100*AJ91</f>
        <v>942.5</v>
      </c>
      <c r="AK100">
        <f>AB100*AK91</f>
        <v>975</v>
      </c>
      <c r="AM100" t="s">
        <v>1372</v>
      </c>
      <c r="AN100">
        <f>AO100*AN91</f>
        <v>617.5</v>
      </c>
      <c r="AO100">
        <f t="shared" ref="AO100:AO101" si="1">AO99+100</f>
        <v>650</v>
      </c>
      <c r="AP100" s="52">
        <f>AO100*AP91</f>
        <v>747.49999999999989</v>
      </c>
      <c r="AQ100" s="52">
        <f>AO100*AQ91</f>
        <v>780</v>
      </c>
      <c r="AR100" s="52">
        <f>AO100*AR91</f>
        <v>877.50000000000011</v>
      </c>
    </row>
    <row r="101" spans="1:44">
      <c r="A101" t="s">
        <v>1374</v>
      </c>
      <c r="K101">
        <v>900</v>
      </c>
      <c r="P101" t="s">
        <v>1374</v>
      </c>
      <c r="X101" t="s">
        <v>1374</v>
      </c>
      <c r="Y101">
        <f>AB101*Y91</f>
        <v>348.75</v>
      </c>
      <c r="Z101">
        <f>AB101*Z91</f>
        <v>542.5</v>
      </c>
      <c r="AA101">
        <f>AA91*AB101</f>
        <v>658.75</v>
      </c>
      <c r="AB101">
        <f>AB100+125</f>
        <v>775</v>
      </c>
      <c r="AC101">
        <f>AB101*AC91</f>
        <v>871.875</v>
      </c>
      <c r="AD101" s="52">
        <f>AB101*AD91</f>
        <v>891.24999999999989</v>
      </c>
      <c r="AE101" s="52">
        <f>AB101*AE91</f>
        <v>910.625</v>
      </c>
      <c r="AF101" s="52">
        <f>AB101*AF91</f>
        <v>930</v>
      </c>
      <c r="AG101" s="52">
        <f>AB101*AG91</f>
        <v>949.37500000000011</v>
      </c>
      <c r="AH101" s="19">
        <f>AB101*AH91</f>
        <v>968.75</v>
      </c>
      <c r="AI101">
        <f>AB101*AI91</f>
        <v>1085</v>
      </c>
      <c r="AJ101">
        <f>AB101*AJ91</f>
        <v>1123.75</v>
      </c>
      <c r="AK101">
        <f>AB101*AK91</f>
        <v>1162.5</v>
      </c>
      <c r="AM101" t="s">
        <v>1374</v>
      </c>
      <c r="AN101">
        <f>AN91*AO101</f>
        <v>736.25</v>
      </c>
      <c r="AO101">
        <f>AO100+125</f>
        <v>775</v>
      </c>
      <c r="AP101" s="52">
        <f>AO101*AP91</f>
        <v>891.24999999999989</v>
      </c>
      <c r="AQ101" s="52">
        <f>AO101*AQ91</f>
        <v>930</v>
      </c>
      <c r="AR101" s="52">
        <f>AO101*AR91</f>
        <v>1046.25</v>
      </c>
    </row>
    <row r="104" spans="1:44">
      <c r="B104">
        <v>0.45</v>
      </c>
      <c r="C104">
        <v>0.7</v>
      </c>
      <c r="D104">
        <v>0.85</v>
      </c>
      <c r="F104">
        <v>1.125</v>
      </c>
      <c r="G104">
        <v>1.1499999999999999</v>
      </c>
      <c r="H104">
        <v>1.175</v>
      </c>
      <c r="I104">
        <v>1.2</v>
      </c>
      <c r="J104">
        <v>1.2250000000000001</v>
      </c>
      <c r="K104">
        <v>1.25</v>
      </c>
      <c r="L104">
        <v>1.4</v>
      </c>
      <c r="M104">
        <v>1.45</v>
      </c>
      <c r="N104">
        <v>1.5</v>
      </c>
      <c r="Q104">
        <v>0.95</v>
      </c>
      <c r="S104">
        <v>1.1499999999999999</v>
      </c>
      <c r="T104">
        <v>1.2</v>
      </c>
      <c r="U104">
        <v>1.35</v>
      </c>
      <c r="Y104">
        <v>0.45</v>
      </c>
      <c r="Z104">
        <v>0.7</v>
      </c>
      <c r="AA104">
        <v>0.85</v>
      </c>
      <c r="AC104">
        <v>1.125</v>
      </c>
      <c r="AD104">
        <v>1.1499999999999999</v>
      </c>
      <c r="AE104">
        <v>1.175</v>
      </c>
      <c r="AF104">
        <v>1.2</v>
      </c>
      <c r="AG104">
        <v>1.2250000000000001</v>
      </c>
      <c r="AH104">
        <v>1.25</v>
      </c>
      <c r="AI104" s="52">
        <v>1.4</v>
      </c>
      <c r="AJ104" s="52">
        <v>1.45</v>
      </c>
      <c r="AK104" s="52">
        <v>1.5</v>
      </c>
      <c r="AN104">
        <v>0.95</v>
      </c>
      <c r="AP104">
        <v>1.1499999999999999</v>
      </c>
      <c r="AQ104">
        <v>1.2</v>
      </c>
      <c r="AR104">
        <v>1.35</v>
      </c>
    </row>
    <row r="105" spans="1:44">
      <c r="A105" t="s">
        <v>1380</v>
      </c>
      <c r="B105" t="s">
        <v>1347</v>
      </c>
      <c r="C105" t="s">
        <v>1348</v>
      </c>
      <c r="D105" t="s">
        <v>1349</v>
      </c>
      <c r="E105" t="s">
        <v>1350</v>
      </c>
      <c r="F105" t="s">
        <v>1351</v>
      </c>
      <c r="G105" t="s">
        <v>1352</v>
      </c>
      <c r="H105" t="s">
        <v>1353</v>
      </c>
      <c r="I105" t="s">
        <v>1354</v>
      </c>
      <c r="J105" t="s">
        <v>1355</v>
      </c>
      <c r="K105" t="s">
        <v>1356</v>
      </c>
      <c r="L105" t="s">
        <v>1357</v>
      </c>
      <c r="M105" t="s">
        <v>1358</v>
      </c>
      <c r="N105" t="s">
        <v>1359</v>
      </c>
      <c r="Q105" t="s">
        <v>1361</v>
      </c>
      <c r="R105" t="s">
        <v>1362</v>
      </c>
      <c r="S105" t="s">
        <v>1363</v>
      </c>
      <c r="T105" t="s">
        <v>1364</v>
      </c>
      <c r="U105" t="s">
        <v>1365</v>
      </c>
      <c r="X105" t="s">
        <v>1380</v>
      </c>
      <c r="Y105" t="s">
        <v>1347</v>
      </c>
      <c r="Z105" t="s">
        <v>1348</v>
      </c>
      <c r="AA105" t="s">
        <v>1349</v>
      </c>
      <c r="AB105" t="s">
        <v>1350</v>
      </c>
      <c r="AC105" t="s">
        <v>1351</v>
      </c>
      <c r="AD105" t="s">
        <v>1352</v>
      </c>
      <c r="AE105" t="s">
        <v>1353</v>
      </c>
      <c r="AF105" t="s">
        <v>1354</v>
      </c>
      <c r="AG105" t="s">
        <v>1355</v>
      </c>
      <c r="AH105" t="s">
        <v>1356</v>
      </c>
      <c r="AI105" t="s">
        <v>1357</v>
      </c>
      <c r="AJ105" t="s">
        <v>1358</v>
      </c>
      <c r="AK105" t="s">
        <v>1359</v>
      </c>
      <c r="AN105" t="s">
        <v>1361</v>
      </c>
      <c r="AO105" t="s">
        <v>1362</v>
      </c>
      <c r="AP105" t="s">
        <v>1363</v>
      </c>
      <c r="AQ105" t="s">
        <v>1364</v>
      </c>
      <c r="AR105" t="s">
        <v>1365</v>
      </c>
    </row>
    <row r="106" spans="1:44">
      <c r="A106" t="s">
        <v>1370</v>
      </c>
      <c r="G106">
        <v>343</v>
      </c>
      <c r="H106">
        <v>540</v>
      </c>
      <c r="P106" t="s">
        <v>1370</v>
      </c>
      <c r="X106" t="s">
        <v>1370</v>
      </c>
      <c r="AB106">
        <v>500</v>
      </c>
      <c r="AC106">
        <f>AB106*AC104</f>
        <v>562.5</v>
      </c>
      <c r="AD106">
        <f>AB106*AD104</f>
        <v>575</v>
      </c>
      <c r="AE106">
        <f>AB106*AE104</f>
        <v>587.5</v>
      </c>
      <c r="AF106">
        <f>AB106*AF104</f>
        <v>600</v>
      </c>
      <c r="AG106">
        <f>AB106*AG104</f>
        <v>612.5</v>
      </c>
      <c r="AH106">
        <f>AB106*AH104</f>
        <v>625</v>
      </c>
      <c r="AI106">
        <f>AB106*AI104</f>
        <v>700</v>
      </c>
      <c r="AJ106">
        <f>AB106*AJ104</f>
        <v>725</v>
      </c>
      <c r="AK106">
        <f>AB106*AK104</f>
        <v>750</v>
      </c>
      <c r="AM106" t="s">
        <v>1370</v>
      </c>
      <c r="AN106" s="52">
        <f>AO106*AN104</f>
        <v>475</v>
      </c>
      <c r="AO106">
        <v>500</v>
      </c>
      <c r="AP106" s="52">
        <f>AO106*AP104</f>
        <v>575</v>
      </c>
      <c r="AQ106" s="52">
        <f>AO106*AQ104</f>
        <v>600</v>
      </c>
      <c r="AR106" s="52">
        <f>AO106*AR104</f>
        <v>675</v>
      </c>
    </row>
    <row r="107" spans="1:44">
      <c r="A107" t="s">
        <v>1371</v>
      </c>
      <c r="I107" t="s">
        <v>1408</v>
      </c>
      <c r="P107" t="s">
        <v>1371</v>
      </c>
      <c r="X107" t="s">
        <v>1371</v>
      </c>
      <c r="AB107">
        <f>AB106+100</f>
        <v>600</v>
      </c>
      <c r="AC107" s="52">
        <f>AB107*AC104</f>
        <v>675</v>
      </c>
      <c r="AD107">
        <f>AB107*AD104</f>
        <v>690</v>
      </c>
      <c r="AE107">
        <f>AB107*AE104</f>
        <v>705</v>
      </c>
      <c r="AF107" s="19">
        <f>AB107*AF104</f>
        <v>720</v>
      </c>
      <c r="AG107">
        <f>AB107*AG104</f>
        <v>735</v>
      </c>
      <c r="AH107">
        <f>AB107*AH104</f>
        <v>750</v>
      </c>
      <c r="AI107">
        <f>AB107*AI104</f>
        <v>840</v>
      </c>
      <c r="AJ107">
        <f>AB107*AJ104</f>
        <v>870</v>
      </c>
      <c r="AK107">
        <f>AB107*AK104</f>
        <v>900</v>
      </c>
      <c r="AM107" t="s">
        <v>1371</v>
      </c>
      <c r="AN107">
        <f>AO107*AN104</f>
        <v>570</v>
      </c>
      <c r="AO107">
        <f>AO106+100</f>
        <v>600</v>
      </c>
      <c r="AP107" s="52">
        <f>AO107*AP104</f>
        <v>690</v>
      </c>
      <c r="AQ107" s="52">
        <f>AO107*AQ104</f>
        <v>720</v>
      </c>
      <c r="AR107" s="52">
        <f>AO107*AR104</f>
        <v>810</v>
      </c>
    </row>
    <row r="108" spans="1:44">
      <c r="A108" t="s">
        <v>1372</v>
      </c>
      <c r="J108">
        <v>800</v>
      </c>
      <c r="P108" t="s">
        <v>1372</v>
      </c>
      <c r="X108" t="s">
        <v>1372</v>
      </c>
      <c r="AB108">
        <f t="shared" ref="AB108:AB109" si="2">AB107+100</f>
        <v>700</v>
      </c>
      <c r="AC108" s="52">
        <f>AB108*AC104</f>
        <v>787.5</v>
      </c>
      <c r="AD108">
        <f>AB108*AD104</f>
        <v>804.99999999999989</v>
      </c>
      <c r="AE108">
        <f>AB108*AE104</f>
        <v>822.5</v>
      </c>
      <c r="AF108">
        <f>AB108*AF104</f>
        <v>840</v>
      </c>
      <c r="AG108" s="19">
        <f>AB108*AG104</f>
        <v>857.50000000000011</v>
      </c>
      <c r="AH108">
        <f>AB108*AH104</f>
        <v>875</v>
      </c>
      <c r="AI108">
        <f>AB108*AI104</f>
        <v>979.99999999999989</v>
      </c>
      <c r="AJ108">
        <f>AB108*AJ104</f>
        <v>1015</v>
      </c>
      <c r="AK108">
        <f>AB108*AK104</f>
        <v>1050</v>
      </c>
      <c r="AM108" t="s">
        <v>1372</v>
      </c>
      <c r="AN108">
        <f>AO108*AN104</f>
        <v>665</v>
      </c>
      <c r="AO108">
        <f t="shared" ref="AO108:AO109" si="3">AO107+100</f>
        <v>700</v>
      </c>
      <c r="AP108" s="52">
        <f>AO108*AP104</f>
        <v>804.99999999999989</v>
      </c>
      <c r="AQ108" s="52">
        <f>AO108*AQ104</f>
        <v>840</v>
      </c>
      <c r="AR108" s="52">
        <f>AO108*AR104</f>
        <v>945.00000000000011</v>
      </c>
    </row>
    <row r="109" spans="1:44">
      <c r="A109" t="s">
        <v>1374</v>
      </c>
      <c r="K109" t="s">
        <v>1409</v>
      </c>
      <c r="P109" t="s">
        <v>1374</v>
      </c>
      <c r="X109" t="s">
        <v>1374</v>
      </c>
      <c r="AB109">
        <f>AB108+125</f>
        <v>825</v>
      </c>
      <c r="AC109" s="52">
        <f>AB109*AC104</f>
        <v>928.125</v>
      </c>
      <c r="AD109" s="52">
        <f>AB109*AD104</f>
        <v>948.74999999999989</v>
      </c>
      <c r="AE109" s="52">
        <f>AB109*AE104</f>
        <v>969.375</v>
      </c>
      <c r="AF109" s="52">
        <f>AB109*AF104</f>
        <v>990</v>
      </c>
      <c r="AG109" s="52">
        <f>AB109*AG104</f>
        <v>1010.6250000000001</v>
      </c>
      <c r="AH109" s="19">
        <f>AB109*AH104</f>
        <v>1031.25</v>
      </c>
      <c r="AI109">
        <f>AB109*AI104</f>
        <v>1155</v>
      </c>
      <c r="AJ109">
        <f>AB109*AJ104</f>
        <v>1196.25</v>
      </c>
      <c r="AK109">
        <f>AB109*AK104</f>
        <v>1237.5</v>
      </c>
      <c r="AM109" t="s">
        <v>1374</v>
      </c>
      <c r="AN109">
        <f>AO109*AN104</f>
        <v>783.75</v>
      </c>
      <c r="AO109">
        <f>AO108+125</f>
        <v>825</v>
      </c>
      <c r="AP109" s="52">
        <f>AO109*AP104</f>
        <v>948.74999999999989</v>
      </c>
      <c r="AQ109" s="52">
        <f>AO109*AQ104</f>
        <v>990</v>
      </c>
      <c r="AR109" s="52">
        <f>AO109*AR104</f>
        <v>1113.75</v>
      </c>
    </row>
    <row r="112" spans="1:44">
      <c r="B112">
        <v>0.45</v>
      </c>
      <c r="C112">
        <v>0.7</v>
      </c>
      <c r="D112">
        <v>0.85</v>
      </c>
      <c r="F112">
        <v>1.125</v>
      </c>
      <c r="G112">
        <v>1.1499999999999999</v>
      </c>
      <c r="H112">
        <v>1.175</v>
      </c>
      <c r="I112">
        <v>1.2</v>
      </c>
      <c r="J112">
        <v>1.2250000000000001</v>
      </c>
      <c r="K112">
        <v>1.25</v>
      </c>
      <c r="L112">
        <v>1.4</v>
      </c>
      <c r="M112">
        <v>1.45</v>
      </c>
      <c r="N112">
        <v>1.5</v>
      </c>
      <c r="Q112">
        <v>0.95</v>
      </c>
      <c r="S112">
        <v>1.1499999999999999</v>
      </c>
      <c r="T112">
        <v>1.2</v>
      </c>
      <c r="U112">
        <v>1.35</v>
      </c>
      <c r="Y112">
        <v>0.45</v>
      </c>
      <c r="Z112">
        <v>0.7</v>
      </c>
      <c r="AA112">
        <v>0.85</v>
      </c>
      <c r="AC112">
        <v>1.125</v>
      </c>
      <c r="AD112">
        <v>1.1499999999999999</v>
      </c>
      <c r="AE112">
        <v>1.175</v>
      </c>
      <c r="AF112">
        <v>1.2</v>
      </c>
      <c r="AG112">
        <v>1.2250000000000001</v>
      </c>
      <c r="AH112">
        <v>1.25</v>
      </c>
      <c r="AI112" s="52">
        <v>1.4</v>
      </c>
      <c r="AJ112" s="52">
        <v>1.45</v>
      </c>
      <c r="AK112" s="52">
        <v>1.5</v>
      </c>
      <c r="AN112">
        <v>0.95</v>
      </c>
      <c r="AP112">
        <v>1.1499999999999999</v>
      </c>
      <c r="AQ112">
        <v>1.2</v>
      </c>
      <c r="AR112">
        <v>1.35</v>
      </c>
    </row>
    <row r="113" spans="1:44">
      <c r="B113" t="s">
        <v>1347</v>
      </c>
      <c r="C113" t="s">
        <v>1348</v>
      </c>
      <c r="D113" t="s">
        <v>1349</v>
      </c>
      <c r="E113" t="s">
        <v>1350</v>
      </c>
      <c r="F113" t="s">
        <v>1351</v>
      </c>
      <c r="G113" t="s">
        <v>1352</v>
      </c>
      <c r="H113" t="s">
        <v>1353</v>
      </c>
      <c r="I113" t="s">
        <v>1354</v>
      </c>
      <c r="J113" t="s">
        <v>1355</v>
      </c>
      <c r="K113" t="s">
        <v>1356</v>
      </c>
      <c r="L113" t="s">
        <v>1357</v>
      </c>
      <c r="M113" t="s">
        <v>1358</v>
      </c>
      <c r="N113" t="s">
        <v>1359</v>
      </c>
      <c r="Q113" t="s">
        <v>1361</v>
      </c>
      <c r="R113" t="s">
        <v>1362</v>
      </c>
      <c r="S113" t="s">
        <v>1363</v>
      </c>
      <c r="T113" t="s">
        <v>1364</v>
      </c>
      <c r="U113" t="s">
        <v>1365</v>
      </c>
      <c r="Y113" t="s">
        <v>1347</v>
      </c>
      <c r="Z113" t="s">
        <v>1348</v>
      </c>
      <c r="AA113" t="s">
        <v>1349</v>
      </c>
      <c r="AB113" t="s">
        <v>1350</v>
      </c>
      <c r="AC113" t="s">
        <v>1351</v>
      </c>
      <c r="AD113" t="s">
        <v>1352</v>
      </c>
      <c r="AE113" t="s">
        <v>1353</v>
      </c>
      <c r="AF113" t="s">
        <v>1354</v>
      </c>
      <c r="AG113" t="s">
        <v>1355</v>
      </c>
      <c r="AH113" t="s">
        <v>1356</v>
      </c>
      <c r="AI113" t="s">
        <v>1357</v>
      </c>
      <c r="AJ113" t="s">
        <v>1358</v>
      </c>
      <c r="AK113" t="s">
        <v>1359</v>
      </c>
      <c r="AN113" t="s">
        <v>1361</v>
      </c>
      <c r="AO113" t="s">
        <v>1362</v>
      </c>
      <c r="AP113" t="s">
        <v>1363</v>
      </c>
      <c r="AQ113" t="s">
        <v>1364</v>
      </c>
      <c r="AR113" t="s">
        <v>1365</v>
      </c>
    </row>
    <row r="114" spans="1:44">
      <c r="A114" t="s">
        <v>1381</v>
      </c>
      <c r="P114" t="s">
        <v>1381</v>
      </c>
      <c r="X114" t="s">
        <v>1381</v>
      </c>
      <c r="Y114" s="52">
        <f>AB114*Y112</f>
        <v>90</v>
      </c>
      <c r="Z114" s="52">
        <f>AB114*Z112</f>
        <v>140</v>
      </c>
      <c r="AA114" s="52">
        <f>AB114*AA112</f>
        <v>170</v>
      </c>
      <c r="AB114" s="15">
        <v>200</v>
      </c>
      <c r="AC114" s="52">
        <f>AB114*AC112</f>
        <v>225</v>
      </c>
      <c r="AD114" s="52">
        <f>AB114*AD112</f>
        <v>229.99999999999997</v>
      </c>
      <c r="AE114" s="52">
        <f>AB114*AE112</f>
        <v>235</v>
      </c>
      <c r="AF114" s="52">
        <f>AB114*AF112</f>
        <v>240</v>
      </c>
      <c r="AG114" s="52">
        <f>AB114*AG112</f>
        <v>245.00000000000003</v>
      </c>
      <c r="AH114" s="52">
        <f>AB114*AH112</f>
        <v>250</v>
      </c>
      <c r="AI114" s="52">
        <f>AB114*AI112</f>
        <v>280</v>
      </c>
      <c r="AJ114" s="52">
        <f>AB114*AJ112</f>
        <v>290</v>
      </c>
      <c r="AK114" s="52">
        <f>AB114*AK112</f>
        <v>300</v>
      </c>
      <c r="AM114" t="s">
        <v>1381</v>
      </c>
      <c r="AN114" s="52">
        <f>AO114*AN112</f>
        <v>190</v>
      </c>
      <c r="AO114" s="51">
        <v>200</v>
      </c>
      <c r="AP114" s="52">
        <f>AO114*AP112</f>
        <v>229.99999999999997</v>
      </c>
      <c r="AQ114" s="52">
        <f>AO114*AQ112</f>
        <v>240</v>
      </c>
      <c r="AR114" s="52">
        <f>AO114*AR112</f>
        <v>270</v>
      </c>
    </row>
    <row r="115" spans="1:44">
      <c r="A115" t="s">
        <v>1382</v>
      </c>
      <c r="D115">
        <v>380</v>
      </c>
      <c r="E115">
        <v>320</v>
      </c>
      <c r="P115" t="s">
        <v>1382</v>
      </c>
      <c r="S115">
        <v>400</v>
      </c>
      <c r="X115" t="s">
        <v>1382</v>
      </c>
      <c r="Y115" s="52">
        <f>AB115*Y112</f>
        <v>135</v>
      </c>
      <c r="Z115" s="52">
        <f>AB115*Z112</f>
        <v>210</v>
      </c>
      <c r="AA115" s="52">
        <f>AB115*AA112</f>
        <v>255</v>
      </c>
      <c r="AB115" s="19">
        <v>300</v>
      </c>
      <c r="AC115" s="52">
        <f>AB115*AC112</f>
        <v>337.5</v>
      </c>
      <c r="AD115" s="52">
        <f>AB115*AD112</f>
        <v>345</v>
      </c>
      <c r="AE115" s="52">
        <f>AB115*AE112</f>
        <v>352.5</v>
      </c>
      <c r="AF115" s="52">
        <f>AB115*AF112</f>
        <v>360</v>
      </c>
      <c r="AG115" s="52">
        <f>AB115*AG112</f>
        <v>367.5</v>
      </c>
      <c r="AH115" s="52">
        <f>AB115*AH112</f>
        <v>375</v>
      </c>
      <c r="AI115" s="52">
        <f>AB115*AI112</f>
        <v>420</v>
      </c>
      <c r="AJ115" s="52">
        <f>AB115*AJ112</f>
        <v>435</v>
      </c>
      <c r="AK115" s="52">
        <f>AB115*AK112</f>
        <v>450</v>
      </c>
      <c r="AM115" t="s">
        <v>1382</v>
      </c>
      <c r="AN115">
        <f>AO115*AN112</f>
        <v>285</v>
      </c>
      <c r="AO115" s="52">
        <v>300</v>
      </c>
      <c r="AP115" s="52">
        <f>AO115*AP112</f>
        <v>345</v>
      </c>
      <c r="AQ115" s="52">
        <f>AO115*AQ112</f>
        <v>360</v>
      </c>
      <c r="AR115" s="52">
        <f>AO115*AR112</f>
        <v>405</v>
      </c>
    </row>
    <row r="116" spans="1:44">
      <c r="A116" t="s">
        <v>1383</v>
      </c>
      <c r="F116">
        <v>440</v>
      </c>
      <c r="P116" t="s">
        <v>1383</v>
      </c>
      <c r="X116" t="s">
        <v>1383</v>
      </c>
      <c r="Y116" s="52">
        <f>AB116*Y112</f>
        <v>180</v>
      </c>
      <c r="Z116" s="52">
        <f>AB116*Z112</f>
        <v>280</v>
      </c>
      <c r="AA116" s="52">
        <f>AB116*AA112</f>
        <v>340</v>
      </c>
      <c r="AB116">
        <v>400</v>
      </c>
      <c r="AC116" s="19">
        <f>AB116*AC112</f>
        <v>450</v>
      </c>
      <c r="AD116" s="52">
        <f>AB116*AD112</f>
        <v>459.99999999999994</v>
      </c>
      <c r="AE116" s="52">
        <f>AB116*AE112</f>
        <v>470</v>
      </c>
      <c r="AF116" s="52">
        <f>AB116*AF112</f>
        <v>480</v>
      </c>
      <c r="AG116" s="52">
        <f>AB116*AG112</f>
        <v>490.00000000000006</v>
      </c>
      <c r="AH116" s="52">
        <f>AB116*AH112</f>
        <v>500</v>
      </c>
      <c r="AI116" s="52">
        <f>AB116*AI112</f>
        <v>560</v>
      </c>
      <c r="AJ116" s="52">
        <f>AB116*AJ112</f>
        <v>580</v>
      </c>
      <c r="AK116" s="52">
        <f>AB116*AK112</f>
        <v>600</v>
      </c>
      <c r="AM116" t="s">
        <v>1383</v>
      </c>
      <c r="AN116">
        <f>AO116*AN112</f>
        <v>380</v>
      </c>
      <c r="AO116" s="52">
        <v>400</v>
      </c>
      <c r="AP116" s="52">
        <f>AO116*AP112</f>
        <v>459.99999999999994</v>
      </c>
      <c r="AQ116" s="52">
        <f>AO116*AQ112</f>
        <v>480</v>
      </c>
      <c r="AR116" s="52">
        <f>AO116*AR112</f>
        <v>540</v>
      </c>
    </row>
    <row r="117" spans="1:44">
      <c r="A117" t="s">
        <v>1384</v>
      </c>
      <c r="E117" t="s">
        <v>1410</v>
      </c>
      <c r="G117">
        <v>440</v>
      </c>
      <c r="P117" t="s">
        <v>1384</v>
      </c>
      <c r="X117" t="s">
        <v>1384</v>
      </c>
      <c r="Y117" s="52">
        <f>AB117*Y112</f>
        <v>186.75</v>
      </c>
      <c r="Z117" s="52">
        <f>AB117*Z112</f>
        <v>290.5</v>
      </c>
      <c r="AA117" s="52">
        <f>AB117*AA112</f>
        <v>352.75</v>
      </c>
      <c r="AB117">
        <v>415</v>
      </c>
      <c r="AC117" s="52">
        <f>AB117*AC112</f>
        <v>466.875</v>
      </c>
      <c r="AD117" s="52">
        <f>AB117*AD112</f>
        <v>477.24999999999994</v>
      </c>
      <c r="AE117" s="52">
        <f>AB117*AE112</f>
        <v>487.625</v>
      </c>
      <c r="AF117" s="52">
        <f>AB117*AF112</f>
        <v>498</v>
      </c>
      <c r="AG117" s="52">
        <f>AB117*AG112</f>
        <v>508.37500000000006</v>
      </c>
      <c r="AH117" s="52">
        <f>AB117*AH112</f>
        <v>518.75</v>
      </c>
      <c r="AI117" s="52">
        <f>AB117*AI112</f>
        <v>581</v>
      </c>
      <c r="AJ117" s="52">
        <f>AB117*AJ112</f>
        <v>601.75</v>
      </c>
      <c r="AK117" s="52">
        <f>AB117*AK112</f>
        <v>622.5</v>
      </c>
      <c r="AM117" t="s">
        <v>1384</v>
      </c>
      <c r="AN117">
        <f>AO117*AN112</f>
        <v>394.25</v>
      </c>
      <c r="AO117" s="52">
        <v>415</v>
      </c>
      <c r="AP117" s="52">
        <f>AO117*AP112</f>
        <v>477.24999999999994</v>
      </c>
      <c r="AQ117" s="52">
        <f>AO117*AQ112</f>
        <v>498</v>
      </c>
      <c r="AR117" s="52">
        <f>AO117*AR112</f>
        <v>560.25</v>
      </c>
    </row>
    <row r="118" spans="1:44">
      <c r="A118" t="s">
        <v>1385</v>
      </c>
      <c r="F118">
        <v>430</v>
      </c>
      <c r="G118">
        <v>470</v>
      </c>
      <c r="P118" t="s">
        <v>1385</v>
      </c>
      <c r="X118" t="s">
        <v>1385</v>
      </c>
      <c r="Y118" s="52">
        <f>AB118*Y112</f>
        <v>193.5</v>
      </c>
      <c r="Z118" s="52">
        <f>AB118*Z112</f>
        <v>301</v>
      </c>
      <c r="AA118" s="52">
        <f>AB118*AA112</f>
        <v>365.5</v>
      </c>
      <c r="AB118">
        <v>430</v>
      </c>
      <c r="AC118" s="52">
        <f>AB118*AC112</f>
        <v>483.75</v>
      </c>
      <c r="AD118" s="52">
        <f>AB118*AD112</f>
        <v>494.49999999999994</v>
      </c>
      <c r="AE118" s="52">
        <f>AB118*AE112</f>
        <v>505.25</v>
      </c>
      <c r="AF118" s="52">
        <f>AB118*AF112</f>
        <v>516</v>
      </c>
      <c r="AG118" s="52">
        <f>AB118*AG112</f>
        <v>526.75</v>
      </c>
      <c r="AH118" s="52">
        <f>AB118*AH112</f>
        <v>537.5</v>
      </c>
      <c r="AI118" s="52">
        <f>AB118*AI112</f>
        <v>602</v>
      </c>
      <c r="AJ118" s="52">
        <f>AB118*AJ112</f>
        <v>623.5</v>
      </c>
      <c r="AK118" s="52">
        <f>AB118*AK112</f>
        <v>645</v>
      </c>
      <c r="AM118" t="s">
        <v>1385</v>
      </c>
      <c r="AN118">
        <f>AO118*AN112</f>
        <v>408.5</v>
      </c>
      <c r="AO118" s="52">
        <v>430</v>
      </c>
      <c r="AP118" s="52">
        <f>AO118*AP112</f>
        <v>494.49999999999994</v>
      </c>
      <c r="AQ118" s="52">
        <f>AO118*AQ112</f>
        <v>516</v>
      </c>
      <c r="AR118" s="52">
        <f>AO118*AR112</f>
        <v>580.5</v>
      </c>
    </row>
    <row r="119" spans="1:44">
      <c r="A119" t="s">
        <v>1386</v>
      </c>
      <c r="P119" t="s">
        <v>1386</v>
      </c>
      <c r="X119" t="s">
        <v>1386</v>
      </c>
      <c r="Y119" s="52">
        <f>AB119*Y112</f>
        <v>200.25</v>
      </c>
      <c r="Z119" s="52">
        <f>AB119*Z112</f>
        <v>311.5</v>
      </c>
      <c r="AA119" s="52">
        <f>AB119*AA112</f>
        <v>378.25</v>
      </c>
      <c r="AB119">
        <v>445</v>
      </c>
      <c r="AC119" s="52">
        <f>AB119*AC112</f>
        <v>500.625</v>
      </c>
      <c r="AD119" s="52">
        <f>AB119*AD112</f>
        <v>511.74999999999994</v>
      </c>
      <c r="AE119" s="52">
        <f>AB119*AE112</f>
        <v>522.875</v>
      </c>
      <c r="AF119" s="52">
        <f>AB119*AF112</f>
        <v>534</v>
      </c>
      <c r="AG119" s="52">
        <f>AB119*AG112</f>
        <v>545.125</v>
      </c>
      <c r="AH119" s="52">
        <f>AB119*AH112</f>
        <v>556.25</v>
      </c>
      <c r="AI119" s="52">
        <f>AB119*AI112</f>
        <v>623</v>
      </c>
      <c r="AJ119" s="52">
        <f>AB119*AJ112</f>
        <v>645.25</v>
      </c>
      <c r="AK119" s="52">
        <f>AB119*AK112</f>
        <v>667.5</v>
      </c>
      <c r="AM119" t="s">
        <v>1386</v>
      </c>
      <c r="AN119">
        <f>AO119*AN112</f>
        <v>422.75</v>
      </c>
      <c r="AO119" s="52">
        <v>445</v>
      </c>
      <c r="AP119" s="52">
        <f>AO119*AP112</f>
        <v>511.74999999999994</v>
      </c>
      <c r="AQ119" s="52">
        <f>AO119*AQ112</f>
        <v>534</v>
      </c>
      <c r="AR119" s="52">
        <f>AO119*AR112</f>
        <v>600.75</v>
      </c>
    </row>
    <row r="120" spans="1:44">
      <c r="A120" t="s">
        <v>1387</v>
      </c>
      <c r="F120">
        <v>600</v>
      </c>
      <c r="P120" t="s">
        <v>1387</v>
      </c>
      <c r="X120" t="s">
        <v>1387</v>
      </c>
      <c r="Y120" s="52">
        <f>AB120*Y112</f>
        <v>207</v>
      </c>
      <c r="Z120" s="52">
        <f>AB120*Z112</f>
        <v>322</v>
      </c>
      <c r="AA120" s="52">
        <f>AB120*AA112</f>
        <v>391</v>
      </c>
      <c r="AB120">
        <v>460</v>
      </c>
      <c r="AC120" s="52">
        <f>AB120*AC112</f>
        <v>517.5</v>
      </c>
      <c r="AD120" s="52">
        <f>AB120*AD112</f>
        <v>529</v>
      </c>
      <c r="AE120" s="52">
        <f>AB120*AE112</f>
        <v>540.5</v>
      </c>
      <c r="AF120" s="52">
        <f>AB120*AF112</f>
        <v>552</v>
      </c>
      <c r="AG120" s="52">
        <f>AB120*AG112</f>
        <v>563.5</v>
      </c>
      <c r="AH120" s="52">
        <f>AB120*AH112</f>
        <v>575</v>
      </c>
      <c r="AI120" s="52">
        <f>AB120*AI112</f>
        <v>644</v>
      </c>
      <c r="AJ120" s="52">
        <f>AB120*AJ112</f>
        <v>667</v>
      </c>
      <c r="AK120" s="52">
        <f>AB120*AK112</f>
        <v>690</v>
      </c>
      <c r="AM120" t="s">
        <v>1387</v>
      </c>
      <c r="AN120">
        <f>AO120*AN112</f>
        <v>437</v>
      </c>
      <c r="AO120" s="52">
        <v>460</v>
      </c>
      <c r="AP120" s="52">
        <f>AO120*AP112</f>
        <v>529</v>
      </c>
      <c r="AQ120" s="52">
        <f>AO120*AQ112</f>
        <v>552</v>
      </c>
      <c r="AR120" s="52">
        <f>AO120*AR112</f>
        <v>621</v>
      </c>
    </row>
    <row r="123" spans="1:44">
      <c r="B123">
        <v>0.45</v>
      </c>
      <c r="C123">
        <v>0.7</v>
      </c>
      <c r="D123">
        <v>0.85</v>
      </c>
      <c r="F123">
        <v>1.125</v>
      </c>
      <c r="G123">
        <v>1.1499999999999999</v>
      </c>
      <c r="H123">
        <v>1.175</v>
      </c>
      <c r="I123">
        <v>1.2</v>
      </c>
      <c r="J123">
        <v>1.2250000000000001</v>
      </c>
      <c r="K123">
        <v>1.25</v>
      </c>
      <c r="L123">
        <v>1.4</v>
      </c>
      <c r="M123">
        <v>1.45</v>
      </c>
      <c r="N123">
        <v>1.5</v>
      </c>
      <c r="Q123">
        <v>0.95</v>
      </c>
      <c r="S123">
        <v>1.1499999999999999</v>
      </c>
      <c r="T123">
        <v>1.2</v>
      </c>
      <c r="U123">
        <v>1.35</v>
      </c>
      <c r="Y123">
        <v>0.45</v>
      </c>
      <c r="Z123">
        <v>0.7</v>
      </c>
      <c r="AA123">
        <v>0.85</v>
      </c>
      <c r="AC123">
        <v>1.125</v>
      </c>
      <c r="AD123">
        <v>1.1499999999999999</v>
      </c>
      <c r="AE123">
        <v>1.175</v>
      </c>
      <c r="AF123">
        <v>1.2</v>
      </c>
      <c r="AG123">
        <v>1.2250000000000001</v>
      </c>
      <c r="AH123">
        <v>1.25</v>
      </c>
      <c r="AI123" s="52">
        <v>1.4</v>
      </c>
      <c r="AJ123" s="52">
        <v>1.45</v>
      </c>
      <c r="AK123" s="52">
        <v>1.5</v>
      </c>
      <c r="AN123">
        <v>0.95</v>
      </c>
      <c r="AP123">
        <v>1.1499999999999999</v>
      </c>
      <c r="AQ123">
        <v>1.2</v>
      </c>
      <c r="AR123">
        <v>1.35</v>
      </c>
    </row>
    <row r="124" spans="1:44">
      <c r="B124" t="s">
        <v>1347</v>
      </c>
      <c r="C124" t="s">
        <v>1348</v>
      </c>
      <c r="D124" t="s">
        <v>1349</v>
      </c>
      <c r="E124" t="s">
        <v>1350</v>
      </c>
      <c r="F124" t="s">
        <v>1351</v>
      </c>
      <c r="G124" t="s">
        <v>1352</v>
      </c>
      <c r="H124" t="s">
        <v>1353</v>
      </c>
      <c r="I124" t="s">
        <v>1354</v>
      </c>
      <c r="J124" t="s">
        <v>1355</v>
      </c>
      <c r="K124" t="s">
        <v>1356</v>
      </c>
      <c r="L124" t="s">
        <v>1357</v>
      </c>
      <c r="M124" t="s">
        <v>1358</v>
      </c>
      <c r="N124" t="s">
        <v>1359</v>
      </c>
      <c r="Q124" t="s">
        <v>1361</v>
      </c>
      <c r="R124" t="s">
        <v>1362</v>
      </c>
      <c r="S124" t="s">
        <v>1363</v>
      </c>
      <c r="T124" t="s">
        <v>1364</v>
      </c>
      <c r="U124" t="s">
        <v>1365</v>
      </c>
      <c r="Y124" t="s">
        <v>1347</v>
      </c>
      <c r="Z124" t="s">
        <v>1348</v>
      </c>
      <c r="AA124" t="s">
        <v>1349</v>
      </c>
      <c r="AB124" t="s">
        <v>1350</v>
      </c>
      <c r="AC124" t="s">
        <v>1351</v>
      </c>
      <c r="AD124" t="s">
        <v>1352</v>
      </c>
      <c r="AE124" t="s">
        <v>1353</v>
      </c>
      <c r="AF124" t="s">
        <v>1354</v>
      </c>
      <c r="AG124" t="s">
        <v>1355</v>
      </c>
      <c r="AH124" t="s">
        <v>1356</v>
      </c>
      <c r="AI124" t="s">
        <v>1357</v>
      </c>
      <c r="AJ124" t="s">
        <v>1358</v>
      </c>
      <c r="AK124" t="s">
        <v>1359</v>
      </c>
      <c r="AN124" t="s">
        <v>1361</v>
      </c>
      <c r="AO124" t="s">
        <v>1362</v>
      </c>
      <c r="AP124" t="s">
        <v>1363</v>
      </c>
      <c r="AQ124" t="s">
        <v>1364</v>
      </c>
      <c r="AR124" t="s">
        <v>1365</v>
      </c>
    </row>
    <row r="125" spans="1:44">
      <c r="A125" t="s">
        <v>1388</v>
      </c>
      <c r="P125" t="s">
        <v>1388</v>
      </c>
      <c r="X125" t="s">
        <v>1388</v>
      </c>
      <c r="Y125" s="52">
        <f>AB125*Y123</f>
        <v>213.75</v>
      </c>
      <c r="Z125" s="52">
        <f>AB125*Z123</f>
        <v>332.5</v>
      </c>
      <c r="AA125" s="52">
        <f>AB125*AA123</f>
        <v>403.75</v>
      </c>
      <c r="AB125">
        <v>475</v>
      </c>
      <c r="AC125" s="52">
        <f>AB125*AC123</f>
        <v>534.375</v>
      </c>
      <c r="AD125" s="52">
        <f>AB125*AD123</f>
        <v>546.25</v>
      </c>
      <c r="AE125" s="52">
        <f>AB125*AE123</f>
        <v>558.125</v>
      </c>
      <c r="AF125" s="52">
        <f>AB125*AF123</f>
        <v>570</v>
      </c>
      <c r="AG125" s="52">
        <f>AB125*AG123</f>
        <v>581.875</v>
      </c>
      <c r="AH125" s="52">
        <f>AB125*AH123</f>
        <v>593.75</v>
      </c>
      <c r="AI125" s="52">
        <f>AB125*AI123</f>
        <v>665</v>
      </c>
      <c r="AJ125" s="52">
        <f>AB125*AJ123</f>
        <v>688.75</v>
      </c>
      <c r="AK125" s="52">
        <f>AB125*AK123</f>
        <v>712.5</v>
      </c>
      <c r="AM125" t="s">
        <v>1388</v>
      </c>
      <c r="AN125" s="52">
        <f>AO125*AN123</f>
        <v>451.25</v>
      </c>
      <c r="AO125">
        <v>475</v>
      </c>
      <c r="AP125" s="52">
        <f>AO125*AP123</f>
        <v>546.25</v>
      </c>
      <c r="AQ125" s="52">
        <f>AO125*AQ123</f>
        <v>570</v>
      </c>
      <c r="AR125" s="52">
        <f>AO125*AR123</f>
        <v>641.25</v>
      </c>
    </row>
    <row r="126" spans="1:44">
      <c r="A126" t="s">
        <v>1389</v>
      </c>
      <c r="P126" t="s">
        <v>1389</v>
      </c>
      <c r="X126" t="s">
        <v>1389</v>
      </c>
      <c r="Y126" s="52">
        <f>AB126*Y123</f>
        <v>220.5</v>
      </c>
      <c r="Z126" s="52">
        <f>AB126*Z123</f>
        <v>343</v>
      </c>
      <c r="AA126" s="52">
        <f>AB126*AA123</f>
        <v>416.5</v>
      </c>
      <c r="AB126">
        <v>490</v>
      </c>
      <c r="AC126" s="52">
        <f>AB126*AC123</f>
        <v>551.25</v>
      </c>
      <c r="AD126" s="52">
        <f>AB126*AD123</f>
        <v>563.5</v>
      </c>
      <c r="AE126" s="52">
        <f>AB126*AE123</f>
        <v>575.75</v>
      </c>
      <c r="AF126" s="52">
        <f>AB126*AF123</f>
        <v>588</v>
      </c>
      <c r="AG126" s="52">
        <f>AB126*AG123</f>
        <v>600.25</v>
      </c>
      <c r="AH126" s="52">
        <f>AB126*AH123</f>
        <v>612.5</v>
      </c>
      <c r="AI126" s="52">
        <f>AB126*AI123</f>
        <v>686</v>
      </c>
      <c r="AJ126" s="52">
        <f>AB126*AJ123</f>
        <v>710.5</v>
      </c>
      <c r="AK126" s="52">
        <f>AB126*AK123</f>
        <v>735</v>
      </c>
      <c r="AM126" t="s">
        <v>1389</v>
      </c>
      <c r="AN126">
        <f>AO126*AN123</f>
        <v>465.5</v>
      </c>
      <c r="AO126">
        <v>490</v>
      </c>
      <c r="AP126" s="52">
        <f>AO126*AP123</f>
        <v>563.5</v>
      </c>
      <c r="AQ126" s="52">
        <f>AO126*AQ123</f>
        <v>588</v>
      </c>
      <c r="AR126" s="52">
        <f>AO126*AR123</f>
        <v>661.5</v>
      </c>
    </row>
    <row r="127" spans="1:44">
      <c r="A127" t="s">
        <v>1390</v>
      </c>
      <c r="P127" t="s">
        <v>1390</v>
      </c>
      <c r="X127" t="s">
        <v>1390</v>
      </c>
      <c r="Y127" s="52">
        <f>AB127*Y123</f>
        <v>227.25</v>
      </c>
      <c r="Z127" s="52">
        <f>AB127*Z123</f>
        <v>353.5</v>
      </c>
      <c r="AA127" s="52">
        <f>AB127*AA123</f>
        <v>429.25</v>
      </c>
      <c r="AB127">
        <v>505</v>
      </c>
      <c r="AC127" s="52">
        <f>AB127*AC123</f>
        <v>568.125</v>
      </c>
      <c r="AD127" s="52">
        <f>AB127*AD123</f>
        <v>580.75</v>
      </c>
      <c r="AE127" s="52">
        <f>AB127*AE123</f>
        <v>593.375</v>
      </c>
      <c r="AF127" s="52">
        <f>AB127*AF123</f>
        <v>606</v>
      </c>
      <c r="AG127" s="52">
        <f>AB127*AG123</f>
        <v>618.625</v>
      </c>
      <c r="AH127" s="52">
        <f>AB127*AH123</f>
        <v>631.25</v>
      </c>
      <c r="AI127" s="52">
        <f>AB127*AI123</f>
        <v>707</v>
      </c>
      <c r="AJ127" s="52">
        <f>AB127*AJ123</f>
        <v>732.25</v>
      </c>
      <c r="AK127" s="52">
        <f>AB127*AK123</f>
        <v>757.5</v>
      </c>
      <c r="AM127" t="s">
        <v>1390</v>
      </c>
      <c r="AN127">
        <f>AO127*AN123</f>
        <v>479.75</v>
      </c>
      <c r="AO127">
        <v>505</v>
      </c>
      <c r="AP127" s="52">
        <f>AO127*AP123</f>
        <v>580.75</v>
      </c>
      <c r="AQ127" s="52">
        <f>AO127*AQ123</f>
        <v>606</v>
      </c>
      <c r="AR127" s="52">
        <f>AO127*AR123</f>
        <v>681.75</v>
      </c>
    </row>
    <row r="130" spans="1:44">
      <c r="B130">
        <v>0.45</v>
      </c>
      <c r="C130">
        <v>0.7</v>
      </c>
      <c r="D130">
        <v>0.85</v>
      </c>
      <c r="F130">
        <v>1.125</v>
      </c>
      <c r="G130">
        <v>1.1499999999999999</v>
      </c>
      <c r="H130">
        <v>1.175</v>
      </c>
      <c r="I130">
        <v>1.2</v>
      </c>
      <c r="J130">
        <v>1.2250000000000001</v>
      </c>
      <c r="K130">
        <v>1.25</v>
      </c>
      <c r="L130">
        <v>1.4</v>
      </c>
      <c r="M130">
        <v>1.45</v>
      </c>
      <c r="N130">
        <v>1.5</v>
      </c>
      <c r="Q130">
        <v>0.95</v>
      </c>
      <c r="S130">
        <v>1.1499999999999999</v>
      </c>
      <c r="T130">
        <v>1.2</v>
      </c>
      <c r="U130">
        <v>1.35</v>
      </c>
      <c r="Y130">
        <v>0.45</v>
      </c>
      <c r="Z130">
        <v>0.7</v>
      </c>
      <c r="AA130">
        <v>0.85</v>
      </c>
      <c r="AC130">
        <v>1.125</v>
      </c>
      <c r="AD130">
        <v>1.1499999999999999</v>
      </c>
      <c r="AE130">
        <v>1.175</v>
      </c>
      <c r="AF130">
        <v>1.2</v>
      </c>
      <c r="AG130">
        <v>1.2250000000000001</v>
      </c>
      <c r="AH130">
        <v>1.25</v>
      </c>
      <c r="AI130" s="52">
        <v>1.4</v>
      </c>
      <c r="AJ130" s="52">
        <v>1.45</v>
      </c>
      <c r="AK130" s="52">
        <v>1.5</v>
      </c>
      <c r="AN130">
        <v>0.95</v>
      </c>
      <c r="AP130">
        <v>1.1499999999999999</v>
      </c>
      <c r="AQ130">
        <v>1.2</v>
      </c>
      <c r="AR130">
        <v>1.35</v>
      </c>
    </row>
    <row r="131" spans="1:44">
      <c r="B131" t="s">
        <v>1347</v>
      </c>
      <c r="C131" t="s">
        <v>1348</v>
      </c>
      <c r="D131" t="s">
        <v>1349</v>
      </c>
      <c r="E131" t="s">
        <v>1350</v>
      </c>
      <c r="F131" t="s">
        <v>1351</v>
      </c>
      <c r="G131" t="s">
        <v>1352</v>
      </c>
      <c r="H131" t="s">
        <v>1353</v>
      </c>
      <c r="I131" t="s">
        <v>1354</v>
      </c>
      <c r="J131" t="s">
        <v>1355</v>
      </c>
      <c r="K131" t="s">
        <v>1356</v>
      </c>
      <c r="L131" t="s">
        <v>1357</v>
      </c>
      <c r="M131" t="s">
        <v>1358</v>
      </c>
      <c r="N131" t="s">
        <v>1359</v>
      </c>
      <c r="Q131" t="s">
        <v>1361</v>
      </c>
      <c r="R131" t="s">
        <v>1362</v>
      </c>
      <c r="S131" t="s">
        <v>1363</v>
      </c>
      <c r="T131" t="s">
        <v>1364</v>
      </c>
      <c r="U131" t="s">
        <v>1365</v>
      </c>
      <c r="Y131" t="s">
        <v>1347</v>
      </c>
      <c r="Z131" t="s">
        <v>1348</v>
      </c>
      <c r="AA131" t="s">
        <v>1349</v>
      </c>
      <c r="AB131" t="s">
        <v>1350</v>
      </c>
      <c r="AC131" t="s">
        <v>1351</v>
      </c>
      <c r="AD131" t="s">
        <v>1352</v>
      </c>
      <c r="AE131" t="s">
        <v>1353</v>
      </c>
      <c r="AF131" t="s">
        <v>1354</v>
      </c>
      <c r="AG131" t="s">
        <v>1355</v>
      </c>
      <c r="AH131" t="s">
        <v>1356</v>
      </c>
      <c r="AI131" t="s">
        <v>1357</v>
      </c>
      <c r="AJ131" t="s">
        <v>1358</v>
      </c>
      <c r="AK131" t="s">
        <v>1359</v>
      </c>
      <c r="AN131" t="s">
        <v>1361</v>
      </c>
      <c r="AO131" t="s">
        <v>1362</v>
      </c>
      <c r="AP131" t="s">
        <v>1363</v>
      </c>
      <c r="AQ131" t="s">
        <v>1364</v>
      </c>
      <c r="AR131" t="s">
        <v>1365</v>
      </c>
    </row>
    <row r="132" spans="1:44">
      <c r="A132" t="s">
        <v>1391</v>
      </c>
      <c r="P132" t="s">
        <v>1391</v>
      </c>
      <c r="X132" t="s">
        <v>1391</v>
      </c>
      <c r="Y132" s="52">
        <f>AB132*Y130</f>
        <v>180</v>
      </c>
      <c r="Z132" s="52">
        <f>AB132*Z130</f>
        <v>280</v>
      </c>
      <c r="AA132" s="52">
        <f>AB132*AA130</f>
        <v>340</v>
      </c>
      <c r="AB132">
        <v>400</v>
      </c>
      <c r="AC132" s="52">
        <f>AB132*AC130</f>
        <v>450</v>
      </c>
      <c r="AD132" s="52">
        <f>AB132*AD130</f>
        <v>459.99999999999994</v>
      </c>
      <c r="AE132" s="52">
        <f>AB132*AE130</f>
        <v>470</v>
      </c>
      <c r="AF132" s="52">
        <f>AB132*AF130</f>
        <v>480</v>
      </c>
      <c r="AG132" s="52">
        <f>AB132*AG130</f>
        <v>490.00000000000006</v>
      </c>
      <c r="AH132" s="52">
        <f>AB132*AH130</f>
        <v>500</v>
      </c>
      <c r="AI132" s="52">
        <f>AB132*AI130</f>
        <v>560</v>
      </c>
      <c r="AJ132" s="52">
        <f>AB132*AJ130</f>
        <v>580</v>
      </c>
      <c r="AK132" s="52">
        <f>AB132*AK130</f>
        <v>600</v>
      </c>
      <c r="AM132" t="s">
        <v>1391</v>
      </c>
      <c r="AN132" s="52">
        <f>AO132*AN130</f>
        <v>380</v>
      </c>
      <c r="AO132">
        <v>400</v>
      </c>
      <c r="AP132" s="52">
        <f>AO132*AP130</f>
        <v>459.99999999999994</v>
      </c>
      <c r="AQ132" s="52">
        <f>AO132*AQ130</f>
        <v>480</v>
      </c>
      <c r="AR132" s="52">
        <f>AO132*AR130</f>
        <v>540</v>
      </c>
    </row>
    <row r="133" spans="1:44">
      <c r="A133" t="s">
        <v>1392</v>
      </c>
      <c r="P133" t="s">
        <v>1392</v>
      </c>
      <c r="X133" t="s">
        <v>1392</v>
      </c>
      <c r="Y133" s="52">
        <f>AB133*Y130</f>
        <v>184.5</v>
      </c>
      <c r="Z133" s="52">
        <f>AB133*Z130</f>
        <v>287</v>
      </c>
      <c r="AA133" s="52">
        <f>AB133*AA130</f>
        <v>348.5</v>
      </c>
      <c r="AB133">
        <v>410</v>
      </c>
      <c r="AC133" s="52">
        <f>AB133*AC130</f>
        <v>461.25</v>
      </c>
      <c r="AD133" s="52">
        <f>AB133*AD130</f>
        <v>471.49999999999994</v>
      </c>
      <c r="AE133" s="52">
        <f>AB133*AE130</f>
        <v>481.75</v>
      </c>
      <c r="AF133" s="52">
        <f>AB133*AF130</f>
        <v>492</v>
      </c>
      <c r="AG133" s="52">
        <f>AB133*AG130</f>
        <v>502.25000000000006</v>
      </c>
      <c r="AH133" s="52">
        <f>AB133*AH130</f>
        <v>512.5</v>
      </c>
      <c r="AI133" s="52">
        <f>AB133*AI130</f>
        <v>574</v>
      </c>
      <c r="AJ133" s="52">
        <f>AB133*AJ130</f>
        <v>594.5</v>
      </c>
      <c r="AK133" s="52">
        <f>AB133*AK130</f>
        <v>615</v>
      </c>
      <c r="AM133" t="s">
        <v>1392</v>
      </c>
      <c r="AN133">
        <f>AO133*AN130</f>
        <v>389.5</v>
      </c>
      <c r="AO133">
        <v>410</v>
      </c>
      <c r="AP133" s="52">
        <f>AO133*AP130</f>
        <v>471.49999999999994</v>
      </c>
      <c r="AQ133" s="52">
        <f>AO133*AQ130</f>
        <v>492</v>
      </c>
      <c r="AR133" s="52">
        <f>AO133*AR130</f>
        <v>553.5</v>
      </c>
    </row>
    <row r="134" spans="1:44">
      <c r="A134" t="s">
        <v>1393</v>
      </c>
      <c r="P134" t="s">
        <v>1393</v>
      </c>
      <c r="X134" t="s">
        <v>1393</v>
      </c>
      <c r="Y134" s="52">
        <f>AB134*Y130</f>
        <v>189</v>
      </c>
      <c r="Z134" s="52">
        <f>AB134*Z130</f>
        <v>294</v>
      </c>
      <c r="AA134" s="52">
        <f>AB134*AA130</f>
        <v>357</v>
      </c>
      <c r="AB134">
        <v>420</v>
      </c>
      <c r="AC134" s="52">
        <f>AB134*AC130</f>
        <v>472.5</v>
      </c>
      <c r="AD134" s="52">
        <f>AB134*AD130</f>
        <v>482.99999999999994</v>
      </c>
      <c r="AE134" s="52">
        <f>AB134*AE130</f>
        <v>493.5</v>
      </c>
      <c r="AF134" s="52">
        <f>AB134*AF130</f>
        <v>504</v>
      </c>
      <c r="AG134" s="52">
        <f>AB134*AG130</f>
        <v>514.5</v>
      </c>
      <c r="AH134" s="52">
        <f>AB134*AH130</f>
        <v>525</v>
      </c>
      <c r="AI134" s="52">
        <f>AB134*AI130</f>
        <v>588</v>
      </c>
      <c r="AJ134" s="52">
        <f>AB134*AJ130</f>
        <v>609</v>
      </c>
      <c r="AK134" s="52">
        <f>AB134*AK130</f>
        <v>630</v>
      </c>
      <c r="AM134" t="s">
        <v>1393</v>
      </c>
      <c r="AN134">
        <f>AO134*AN130</f>
        <v>399</v>
      </c>
      <c r="AO134">
        <v>420</v>
      </c>
      <c r="AP134" s="52">
        <f>AO134*AP130</f>
        <v>482.99999999999994</v>
      </c>
      <c r="AQ134" s="52">
        <f>AO134*AQ130</f>
        <v>504</v>
      </c>
      <c r="AR134" s="52">
        <f>AO134*AR130</f>
        <v>567</v>
      </c>
    </row>
    <row r="137" spans="1:44">
      <c r="Y137">
        <v>0.2</v>
      </c>
      <c r="Z137">
        <v>0.4</v>
      </c>
      <c r="AA137">
        <v>0.6</v>
      </c>
      <c r="AB137">
        <v>0.8</v>
      </c>
      <c r="AC137">
        <v>0.81499999999999995</v>
      </c>
      <c r="AD137">
        <v>0.83</v>
      </c>
      <c r="AE137">
        <v>0.84499999999999997</v>
      </c>
      <c r="AF137">
        <v>0.86</v>
      </c>
      <c r="AG137">
        <v>0.875</v>
      </c>
      <c r="AH137">
        <v>0.89</v>
      </c>
    </row>
    <row r="138" spans="1:44">
      <c r="B138" t="s">
        <v>1411</v>
      </c>
      <c r="C138" t="s">
        <v>1412</v>
      </c>
      <c r="D138" t="s">
        <v>1413</v>
      </c>
      <c r="E138" t="s">
        <v>1414</v>
      </c>
      <c r="F138" t="s">
        <v>1415</v>
      </c>
      <c r="G138" t="s">
        <v>1416</v>
      </c>
      <c r="H138" t="s">
        <v>1417</v>
      </c>
      <c r="I138" t="s">
        <v>1418</v>
      </c>
      <c r="J138" t="s">
        <v>1419</v>
      </c>
      <c r="K138" t="s">
        <v>1420</v>
      </c>
      <c r="L138" t="s">
        <v>525</v>
      </c>
      <c r="Y138" t="s">
        <v>1411</v>
      </c>
      <c r="Z138" t="s">
        <v>1412</v>
      </c>
      <c r="AA138" t="s">
        <v>1413</v>
      </c>
      <c r="AB138" t="s">
        <v>1414</v>
      </c>
      <c r="AC138" t="s">
        <v>1415</v>
      </c>
      <c r="AD138" t="s">
        <v>1416</v>
      </c>
      <c r="AE138" t="s">
        <v>1417</v>
      </c>
      <c r="AF138" t="s">
        <v>1418</v>
      </c>
      <c r="AG138" t="s">
        <v>1419</v>
      </c>
      <c r="AH138" t="s">
        <v>1420</v>
      </c>
      <c r="AI138" t="s">
        <v>525</v>
      </c>
    </row>
    <row r="139" spans="1:44">
      <c r="A139" t="s">
        <v>1360</v>
      </c>
      <c r="B139" t="s">
        <v>1421</v>
      </c>
      <c r="C139" t="s">
        <v>1422</v>
      </c>
      <c r="D139" t="s">
        <v>1423</v>
      </c>
      <c r="E139" t="s">
        <v>1424</v>
      </c>
      <c r="F139">
        <v>187</v>
      </c>
      <c r="X139" t="s">
        <v>1360</v>
      </c>
      <c r="Y139" s="19">
        <f>AI139*Y137</f>
        <v>30</v>
      </c>
      <c r="Z139" s="19">
        <f>AI139*Z137</f>
        <v>60</v>
      </c>
      <c r="AA139" s="19">
        <f>AI139*AA137</f>
        <v>90</v>
      </c>
      <c r="AB139" s="19">
        <f>AI139*AB137</f>
        <v>120</v>
      </c>
      <c r="AC139">
        <f>AI139*AC137</f>
        <v>122.24999999999999</v>
      </c>
      <c r="AD139">
        <f>AI139*AD137</f>
        <v>124.5</v>
      </c>
      <c r="AE139">
        <f>AI139*AE137</f>
        <v>126.75</v>
      </c>
      <c r="AF139">
        <f>AI139*AF137</f>
        <v>129</v>
      </c>
      <c r="AG139">
        <f>AI139*AG137</f>
        <v>131.25</v>
      </c>
      <c r="AH139">
        <f>AI139*AH137</f>
        <v>133.5</v>
      </c>
      <c r="AI139" s="15">
        <v>150</v>
      </c>
    </row>
    <row r="140" spans="1:44">
      <c r="A140" t="s">
        <v>1366</v>
      </c>
      <c r="D140">
        <v>94</v>
      </c>
      <c r="E140" t="s">
        <v>1425</v>
      </c>
      <c r="X140" t="s">
        <v>1366</v>
      </c>
      <c r="Y140">
        <f>AI140*Y137</f>
        <v>40</v>
      </c>
      <c r="Z140">
        <f>AI140*Z137</f>
        <v>80</v>
      </c>
      <c r="AA140">
        <f>AI140*AA137</f>
        <v>120</v>
      </c>
      <c r="AB140">
        <f>AI140*AB137</f>
        <v>160</v>
      </c>
      <c r="AC140">
        <f>AI140*AC137</f>
        <v>163</v>
      </c>
      <c r="AD140">
        <f>AI140*AD137</f>
        <v>166</v>
      </c>
      <c r="AE140">
        <f>AI140*AE137</f>
        <v>169</v>
      </c>
      <c r="AF140">
        <f>AI140*AF137</f>
        <v>172</v>
      </c>
      <c r="AG140">
        <f>AI140*AG137</f>
        <v>175</v>
      </c>
      <c r="AH140">
        <f>AI140*AH137</f>
        <v>178</v>
      </c>
      <c r="AI140">
        <f>AI139+50</f>
        <v>200</v>
      </c>
    </row>
    <row r="141" spans="1:44">
      <c r="A141" t="s">
        <v>1367</v>
      </c>
      <c r="E141">
        <v>219</v>
      </c>
      <c r="X141" t="s">
        <v>1367</v>
      </c>
      <c r="Y141">
        <f>AI141*Y137</f>
        <v>50</v>
      </c>
      <c r="Z141">
        <f>AI141*Z137</f>
        <v>100</v>
      </c>
      <c r="AA141">
        <f>AI141*AA137</f>
        <v>150</v>
      </c>
      <c r="AB141" s="19">
        <f>AI141*AB137</f>
        <v>200</v>
      </c>
      <c r="AC141">
        <f>AI141*AC137</f>
        <v>203.75</v>
      </c>
      <c r="AD141">
        <f>AI141*AD137</f>
        <v>207.5</v>
      </c>
      <c r="AE141">
        <f>AI141*AE137</f>
        <v>211.25</v>
      </c>
      <c r="AF141">
        <f>AI141*AF137</f>
        <v>215</v>
      </c>
      <c r="AG141">
        <f>AI141*AG137</f>
        <v>218.75</v>
      </c>
      <c r="AH141">
        <f>AI141*AH137</f>
        <v>222.5</v>
      </c>
      <c r="AI141">
        <f>AI140+50</f>
        <v>250</v>
      </c>
    </row>
    <row r="142" spans="1:44">
      <c r="A142" t="s">
        <v>1368</v>
      </c>
      <c r="X142" t="s">
        <v>1368</v>
      </c>
      <c r="Y142">
        <f>AI142*Y137</f>
        <v>60</v>
      </c>
      <c r="Z142">
        <f>AI142*Z137</f>
        <v>120</v>
      </c>
      <c r="AA142">
        <f>AI142*AA137</f>
        <v>180</v>
      </c>
      <c r="AB142">
        <f>AI142*AB137</f>
        <v>240</v>
      </c>
      <c r="AC142">
        <f>AI142*AC137</f>
        <v>244.49999999999997</v>
      </c>
      <c r="AD142">
        <f>AI142*AD137</f>
        <v>249</v>
      </c>
      <c r="AE142">
        <f>AI142*AE137</f>
        <v>253.5</v>
      </c>
      <c r="AF142">
        <f>AI142*AF137</f>
        <v>258</v>
      </c>
      <c r="AG142">
        <f>AI142*AG137</f>
        <v>262.5</v>
      </c>
      <c r="AH142">
        <f>AI142*AH137</f>
        <v>267</v>
      </c>
      <c r="AI142">
        <f>AI141+50</f>
        <v>300</v>
      </c>
    </row>
    <row r="143" spans="1:44">
      <c r="A143" t="s">
        <v>1369</v>
      </c>
      <c r="G143">
        <v>271</v>
      </c>
      <c r="X143" t="s">
        <v>1369</v>
      </c>
      <c r="Y143">
        <f>AI143*Y137</f>
        <v>75</v>
      </c>
      <c r="Z143">
        <f>AI143*Z137</f>
        <v>150</v>
      </c>
      <c r="AA143">
        <f>AI143*AA137</f>
        <v>225</v>
      </c>
      <c r="AB143">
        <f>AI143*AB137</f>
        <v>300</v>
      </c>
      <c r="AC143">
        <f>AI143*AC137</f>
        <v>305.625</v>
      </c>
      <c r="AD143">
        <f>AI143*AD137</f>
        <v>311.25</v>
      </c>
      <c r="AE143">
        <f>AI143*AE137</f>
        <v>316.875</v>
      </c>
      <c r="AF143">
        <f>AI143*AF137</f>
        <v>322.5</v>
      </c>
      <c r="AG143">
        <f>AI143*AG137</f>
        <v>328.125</v>
      </c>
      <c r="AH143">
        <f>AI143*AH137</f>
        <v>333.75</v>
      </c>
      <c r="AI143">
        <f>AI142+75</f>
        <v>375</v>
      </c>
    </row>
    <row r="144" spans="1:44">
      <c r="A144" t="s">
        <v>1370</v>
      </c>
      <c r="H144" t="s">
        <v>1426</v>
      </c>
      <c r="X144" t="s">
        <v>1370</v>
      </c>
      <c r="Y144">
        <f>AI144*Y137</f>
        <v>90</v>
      </c>
      <c r="Z144">
        <f>AI144*Z137</f>
        <v>180</v>
      </c>
      <c r="AA144">
        <f>AI144*AA137</f>
        <v>270</v>
      </c>
      <c r="AB144">
        <f>AI144*AB137</f>
        <v>360</v>
      </c>
      <c r="AC144">
        <f>AI144*AC137</f>
        <v>366.75</v>
      </c>
      <c r="AD144">
        <f>AI144*AD137</f>
        <v>373.5</v>
      </c>
      <c r="AE144">
        <f>AI144*AE137</f>
        <v>380.25</v>
      </c>
      <c r="AF144">
        <f>AI144*AF137</f>
        <v>387</v>
      </c>
      <c r="AG144">
        <f>AI144*AG137</f>
        <v>393.75</v>
      </c>
      <c r="AH144">
        <f>AI144*AH137</f>
        <v>400.5</v>
      </c>
      <c r="AI144">
        <f>AI143+75</f>
        <v>450</v>
      </c>
    </row>
    <row r="145" spans="1:35">
      <c r="A145" t="s">
        <v>1371</v>
      </c>
      <c r="I145" t="s">
        <v>1427</v>
      </c>
      <c r="X145" t="s">
        <v>1371</v>
      </c>
      <c r="Y145">
        <f>AI145*Y137</f>
        <v>110</v>
      </c>
      <c r="Z145">
        <f>AI145*Z137</f>
        <v>220</v>
      </c>
      <c r="AA145">
        <f>AI145*AA137</f>
        <v>330</v>
      </c>
      <c r="AB145">
        <f>AI145*AB137</f>
        <v>440</v>
      </c>
      <c r="AC145">
        <f>AI145*AC137</f>
        <v>448.24999999999994</v>
      </c>
      <c r="AD145">
        <f>AI145*AD137</f>
        <v>456.5</v>
      </c>
      <c r="AE145">
        <f>AI145*AE137</f>
        <v>464.75</v>
      </c>
      <c r="AF145">
        <f>AI145*AF137</f>
        <v>473</v>
      </c>
      <c r="AG145">
        <f>AI145*AG137</f>
        <v>481.25</v>
      </c>
      <c r="AH145">
        <f>AI145*AH137</f>
        <v>489.5</v>
      </c>
      <c r="AI145">
        <f>AI144+100</f>
        <v>550</v>
      </c>
    </row>
    <row r="146" spans="1:35">
      <c r="A146" t="s">
        <v>1372</v>
      </c>
      <c r="J146">
        <v>443</v>
      </c>
      <c r="X146" t="s">
        <v>1372</v>
      </c>
      <c r="Y146">
        <f>AI146*Y137</f>
        <v>130</v>
      </c>
      <c r="Z146">
        <f>AI146*Z137</f>
        <v>260</v>
      </c>
      <c r="AA146">
        <f>AI146*AA137</f>
        <v>390</v>
      </c>
      <c r="AB146">
        <f>AI146*AB137</f>
        <v>520</v>
      </c>
      <c r="AC146">
        <f>AI146*AC137</f>
        <v>529.75</v>
      </c>
      <c r="AD146">
        <f>AI146*AD137</f>
        <v>539.5</v>
      </c>
      <c r="AE146">
        <f>AI146*AE137</f>
        <v>549.25</v>
      </c>
      <c r="AF146">
        <f>AI146*AF137</f>
        <v>559</v>
      </c>
      <c r="AG146">
        <f>AI146*AG137</f>
        <v>568.75</v>
      </c>
      <c r="AH146">
        <f>AI146*AH137</f>
        <v>578.5</v>
      </c>
      <c r="AI146">
        <f t="shared" ref="AI146" si="4">AI145+100</f>
        <v>650</v>
      </c>
    </row>
    <row r="147" spans="1:35">
      <c r="A147" t="s">
        <v>1374</v>
      </c>
      <c r="X147" t="s">
        <v>1374</v>
      </c>
      <c r="Y147">
        <f>AI147*Y137</f>
        <v>155</v>
      </c>
      <c r="Z147">
        <f>AI147*Z137</f>
        <v>310</v>
      </c>
      <c r="AA147">
        <f>AI147*AA137</f>
        <v>465</v>
      </c>
      <c r="AB147">
        <f>AI147*AB137</f>
        <v>620</v>
      </c>
      <c r="AC147">
        <f>AI147*AC137</f>
        <v>631.625</v>
      </c>
      <c r="AD147">
        <f>AI147*AD137</f>
        <v>643.25</v>
      </c>
      <c r="AE147">
        <f>AI147*AE137</f>
        <v>654.875</v>
      </c>
      <c r="AF147">
        <f>AI147*AF137</f>
        <v>666.5</v>
      </c>
      <c r="AG147">
        <f>AI147*AG137</f>
        <v>678.125</v>
      </c>
      <c r="AH147">
        <f>AI147*AH137</f>
        <v>689.75</v>
      </c>
      <c r="AI147">
        <f>AI146+125</f>
        <v>775</v>
      </c>
    </row>
    <row r="150" spans="1:35">
      <c r="Y150">
        <v>0.2</v>
      </c>
      <c r="Z150">
        <v>0.4</v>
      </c>
      <c r="AA150">
        <v>0.6</v>
      </c>
      <c r="AB150">
        <v>0.8</v>
      </c>
      <c r="AC150">
        <v>0.81499999999999995</v>
      </c>
      <c r="AD150">
        <v>0.83</v>
      </c>
      <c r="AE150">
        <v>0.84499999999999997</v>
      </c>
      <c r="AF150">
        <v>0.86</v>
      </c>
      <c r="AG150">
        <v>0.875</v>
      </c>
      <c r="AH150">
        <v>0.89</v>
      </c>
    </row>
    <row r="151" spans="1:35">
      <c r="B151" t="s">
        <v>1411</v>
      </c>
      <c r="C151" t="s">
        <v>1412</v>
      </c>
      <c r="D151" t="s">
        <v>1413</v>
      </c>
      <c r="E151" t="s">
        <v>1414</v>
      </c>
      <c r="F151" t="s">
        <v>1415</v>
      </c>
      <c r="G151" t="s">
        <v>1416</v>
      </c>
      <c r="H151" t="s">
        <v>1417</v>
      </c>
      <c r="I151" t="s">
        <v>1418</v>
      </c>
      <c r="J151" t="s">
        <v>1419</v>
      </c>
      <c r="K151" t="s">
        <v>1420</v>
      </c>
      <c r="L151" t="s">
        <v>525</v>
      </c>
      <c r="X151" t="s">
        <v>1380</v>
      </c>
      <c r="Y151" t="s">
        <v>1411</v>
      </c>
      <c r="Z151" t="s">
        <v>1412</v>
      </c>
      <c r="AA151" t="s">
        <v>1413</v>
      </c>
      <c r="AB151" t="s">
        <v>1414</v>
      </c>
      <c r="AC151" t="s">
        <v>1415</v>
      </c>
      <c r="AD151" t="s">
        <v>1416</v>
      </c>
      <c r="AE151" t="s">
        <v>1417</v>
      </c>
      <c r="AF151" t="s">
        <v>1418</v>
      </c>
      <c r="AG151" t="s">
        <v>1419</v>
      </c>
      <c r="AH151" t="s">
        <v>1420</v>
      </c>
      <c r="AI151" t="s">
        <v>525</v>
      </c>
    </row>
    <row r="152" spans="1:35">
      <c r="A152" t="s">
        <v>1381</v>
      </c>
      <c r="X152" t="s">
        <v>1370</v>
      </c>
      <c r="Y152" s="52">
        <f>AI152*Y150</f>
        <v>100</v>
      </c>
      <c r="Z152" s="52">
        <f>AI152*Z150</f>
        <v>200</v>
      </c>
      <c r="AA152" s="52">
        <f>AI152*AA150</f>
        <v>300</v>
      </c>
      <c r="AB152" s="52">
        <f>AI152*AB150</f>
        <v>400</v>
      </c>
      <c r="AC152" s="52">
        <f>AI152*AC150</f>
        <v>407.5</v>
      </c>
      <c r="AD152" s="52">
        <f>AI152*AD150</f>
        <v>415</v>
      </c>
      <c r="AE152" s="19">
        <f>AI152*AE150</f>
        <v>422.5</v>
      </c>
      <c r="AF152" s="52">
        <f>AI152*AF150</f>
        <v>430</v>
      </c>
      <c r="AG152" s="52">
        <f>AI152*AG150</f>
        <v>437.5</v>
      </c>
      <c r="AH152" s="52">
        <f>AI152*AH150</f>
        <v>445</v>
      </c>
      <c r="AI152">
        <v>500</v>
      </c>
    </row>
    <row r="153" spans="1:35">
      <c r="A153" t="s">
        <v>1382</v>
      </c>
      <c r="E153" t="s">
        <v>1428</v>
      </c>
      <c r="X153" t="s">
        <v>1371</v>
      </c>
      <c r="Y153" s="52">
        <f>AI153*Y150</f>
        <v>120</v>
      </c>
      <c r="Z153" s="52">
        <f>AI153*Z150</f>
        <v>240</v>
      </c>
      <c r="AA153" s="52">
        <f>AI153*AA150</f>
        <v>360</v>
      </c>
      <c r="AB153" s="52">
        <f>AI153*AB150</f>
        <v>480</v>
      </c>
      <c r="AC153" s="52">
        <f>AI153*AC150</f>
        <v>488.99999999999994</v>
      </c>
      <c r="AD153" s="52">
        <f>AI153*AD150</f>
        <v>498</v>
      </c>
      <c r="AE153" s="52">
        <f>AI153*AE150</f>
        <v>507</v>
      </c>
      <c r="AF153" s="19">
        <f>AI153*AF150</f>
        <v>516</v>
      </c>
      <c r="AG153" s="52">
        <f>AI153*AG150</f>
        <v>525</v>
      </c>
      <c r="AH153" s="52">
        <f>AI153*AH150</f>
        <v>534</v>
      </c>
      <c r="AI153">
        <f>AI152+100</f>
        <v>600</v>
      </c>
    </row>
    <row r="154" spans="1:35">
      <c r="A154" t="s">
        <v>1383</v>
      </c>
      <c r="F154" t="s">
        <v>1429</v>
      </c>
      <c r="X154" t="s">
        <v>1372</v>
      </c>
      <c r="Y154" s="52">
        <f>AI154*Y150</f>
        <v>140</v>
      </c>
      <c r="Z154" s="52">
        <f>AI154*Z150</f>
        <v>280</v>
      </c>
      <c r="AA154" s="52">
        <f>AI154*AA150</f>
        <v>420</v>
      </c>
      <c r="AB154" s="52">
        <f>AI154*AB150</f>
        <v>560</v>
      </c>
      <c r="AC154" s="52">
        <f>AI154*AC150</f>
        <v>570.5</v>
      </c>
      <c r="AD154" s="52">
        <f>AI154*AD150</f>
        <v>581</v>
      </c>
      <c r="AE154" s="52">
        <f>AI154*AE150</f>
        <v>591.5</v>
      </c>
      <c r="AF154" s="52">
        <f>AI154*AF150</f>
        <v>602</v>
      </c>
      <c r="AG154" s="52">
        <f>AI154*AG150</f>
        <v>612.5</v>
      </c>
      <c r="AH154" s="52">
        <f>AI154*AH150</f>
        <v>623</v>
      </c>
      <c r="AI154">
        <f t="shared" ref="AI154" si="5">AI153+100</f>
        <v>700</v>
      </c>
    </row>
    <row r="155" spans="1:35">
      <c r="A155" t="s">
        <v>1384</v>
      </c>
      <c r="X155" t="s">
        <v>1374</v>
      </c>
      <c r="Y155" s="52">
        <f>AI155*Y150</f>
        <v>165</v>
      </c>
      <c r="Z155" s="52">
        <f>AI155*Z150</f>
        <v>330</v>
      </c>
      <c r="AA155" s="52">
        <f>AI155*AA150</f>
        <v>495</v>
      </c>
      <c r="AB155" s="52">
        <f>AI155*AB150</f>
        <v>660</v>
      </c>
      <c r="AC155" s="52">
        <f>AI155*AC150</f>
        <v>672.375</v>
      </c>
      <c r="AD155" s="52">
        <f>AI155*AD150</f>
        <v>684.75</v>
      </c>
      <c r="AE155" s="52">
        <f>AI155*AE150</f>
        <v>697.125</v>
      </c>
      <c r="AF155" s="52">
        <f>AI155*AF150</f>
        <v>709.5</v>
      </c>
      <c r="AG155" s="52">
        <f>AI155*AG150</f>
        <v>721.875</v>
      </c>
      <c r="AH155" s="52">
        <f>AI155*AH150</f>
        <v>734.25</v>
      </c>
      <c r="AI155">
        <f>AI154+125</f>
        <v>825</v>
      </c>
    </row>
    <row r="156" spans="1:35">
      <c r="A156" t="s">
        <v>1385</v>
      </c>
      <c r="H156">
        <v>390</v>
      </c>
    </row>
    <row r="157" spans="1:35">
      <c r="A157" t="s">
        <v>1386</v>
      </c>
      <c r="I157">
        <v>400</v>
      </c>
    </row>
    <row r="158" spans="1:35">
      <c r="A158" t="s">
        <v>1387</v>
      </c>
      <c r="Y158">
        <v>0.2</v>
      </c>
      <c r="Z158">
        <v>0.4</v>
      </c>
      <c r="AA158">
        <v>0.6</v>
      </c>
      <c r="AB158">
        <v>0.8</v>
      </c>
      <c r="AC158">
        <v>0.81499999999999995</v>
      </c>
      <c r="AD158">
        <v>0.83</v>
      </c>
      <c r="AE158">
        <v>0.84499999999999997</v>
      </c>
      <c r="AF158">
        <v>0.86</v>
      </c>
      <c r="AG158">
        <v>0.875</v>
      </c>
      <c r="AH158">
        <v>0.89</v>
      </c>
    </row>
    <row r="159" spans="1:35">
      <c r="Y159" t="s">
        <v>1411</v>
      </c>
      <c r="Z159" t="s">
        <v>1412</v>
      </c>
      <c r="AA159" t="s">
        <v>1413</v>
      </c>
      <c r="AB159" t="s">
        <v>1414</v>
      </c>
      <c r="AC159" t="s">
        <v>1415</v>
      </c>
      <c r="AD159" t="s">
        <v>1416</v>
      </c>
      <c r="AE159" t="s">
        <v>1417</v>
      </c>
      <c r="AF159" t="s">
        <v>1418</v>
      </c>
      <c r="AG159" t="s">
        <v>1419</v>
      </c>
      <c r="AH159" t="s">
        <v>1420</v>
      </c>
      <c r="AI159" t="s">
        <v>525</v>
      </c>
    </row>
    <row r="160" spans="1:35">
      <c r="X160" t="s">
        <v>1381</v>
      </c>
      <c r="Y160" s="52">
        <f>AI160*Y158</f>
        <v>40</v>
      </c>
      <c r="Z160" s="52">
        <f>AI160*Z158</f>
        <v>80</v>
      </c>
      <c r="AA160" s="52">
        <f>AI160*AA158</f>
        <v>120</v>
      </c>
      <c r="AB160" s="52">
        <f>AI160*AB158</f>
        <v>160</v>
      </c>
      <c r="AC160" s="52">
        <f>AI160*AC158</f>
        <v>163</v>
      </c>
      <c r="AD160" s="52">
        <f>AI160*AD158</f>
        <v>166</v>
      </c>
      <c r="AE160" s="52">
        <f>AI160*AE158</f>
        <v>169</v>
      </c>
      <c r="AF160" s="52">
        <f>AI160*AF158</f>
        <v>172</v>
      </c>
      <c r="AG160" s="52">
        <f>AI160*AG158</f>
        <v>175</v>
      </c>
      <c r="AH160" s="52">
        <f>AI160*AH158</f>
        <v>178</v>
      </c>
      <c r="AI160" s="51">
        <v>200</v>
      </c>
    </row>
    <row r="161" spans="1:39">
      <c r="X161" t="s">
        <v>1382</v>
      </c>
      <c r="Y161">
        <f>AI161*Y158</f>
        <v>60</v>
      </c>
      <c r="Z161">
        <f>AI161*Z158</f>
        <v>120</v>
      </c>
      <c r="AA161" s="52">
        <f>AI161*AA158</f>
        <v>180</v>
      </c>
      <c r="AB161" s="19">
        <f>AI161*AB158</f>
        <v>240</v>
      </c>
      <c r="AC161" s="52">
        <f>AI161*AC158</f>
        <v>244.49999999999997</v>
      </c>
      <c r="AD161" s="52">
        <f>AI161*AD158</f>
        <v>249</v>
      </c>
      <c r="AE161" s="52">
        <f>AI161*AE158</f>
        <v>253.5</v>
      </c>
      <c r="AF161" s="52">
        <f>AI161*AF158</f>
        <v>258</v>
      </c>
      <c r="AG161" s="52">
        <f>AI161*AG158</f>
        <v>262.5</v>
      </c>
      <c r="AH161" s="52">
        <f>AI161*AH158</f>
        <v>267</v>
      </c>
      <c r="AI161" s="52">
        <v>300</v>
      </c>
    </row>
    <row r="162" spans="1:39">
      <c r="B162" t="s">
        <v>1430</v>
      </c>
      <c r="C162" t="s">
        <v>1431</v>
      </c>
      <c r="D162" t="s">
        <v>1432</v>
      </c>
      <c r="E162" t="s">
        <v>1433</v>
      </c>
      <c r="F162" t="s">
        <v>525</v>
      </c>
      <c r="I162" t="s">
        <v>1434</v>
      </c>
      <c r="L162" t="s">
        <v>1434</v>
      </c>
      <c r="X162" t="s">
        <v>1383</v>
      </c>
      <c r="Y162">
        <f>AI162*Y158</f>
        <v>80</v>
      </c>
      <c r="Z162">
        <f>AI162*Z158</f>
        <v>160</v>
      </c>
      <c r="AA162" s="52">
        <f>AI162*AA158</f>
        <v>240</v>
      </c>
      <c r="AB162" s="52">
        <f>AI162*AB158</f>
        <v>320</v>
      </c>
      <c r="AC162" s="19">
        <f>AI162*AC158</f>
        <v>326</v>
      </c>
      <c r="AD162" s="52">
        <f>AI162*AD158</f>
        <v>332</v>
      </c>
      <c r="AE162" s="52">
        <f>AI162*AE158</f>
        <v>338</v>
      </c>
      <c r="AF162" s="52">
        <f>AI162*AF158</f>
        <v>344</v>
      </c>
      <c r="AG162" s="52">
        <f>AI162*AG158</f>
        <v>350</v>
      </c>
      <c r="AH162" s="52">
        <f>AI162*AH158</f>
        <v>356</v>
      </c>
      <c r="AI162" s="52">
        <v>400</v>
      </c>
    </row>
    <row r="163" spans="1:39">
      <c r="A163" t="s">
        <v>1381</v>
      </c>
      <c r="H163" t="s">
        <v>1381</v>
      </c>
      <c r="I163">
        <v>380</v>
      </c>
      <c r="K163" t="s">
        <v>1057</v>
      </c>
      <c r="L163" t="s">
        <v>1435</v>
      </c>
      <c r="M163">
        <v>500</v>
      </c>
      <c r="X163" t="s">
        <v>1384</v>
      </c>
      <c r="Y163">
        <f>AI163*Y158</f>
        <v>83</v>
      </c>
      <c r="Z163">
        <f>AI163*Z158</f>
        <v>166</v>
      </c>
      <c r="AA163" s="52">
        <f>AI163*AA158</f>
        <v>249</v>
      </c>
      <c r="AB163" s="52">
        <f>AI163*AB158</f>
        <v>332</v>
      </c>
      <c r="AC163" s="52">
        <f>AI163*AC158</f>
        <v>338.22499999999997</v>
      </c>
      <c r="AD163" s="52">
        <f>AI163*AD158</f>
        <v>344.45</v>
      </c>
      <c r="AE163" s="52">
        <f>AI163*AE158</f>
        <v>350.67500000000001</v>
      </c>
      <c r="AF163" s="52">
        <f>AI163*AF158</f>
        <v>356.9</v>
      </c>
      <c r="AG163" s="52">
        <f>AI163*AG158</f>
        <v>363.125</v>
      </c>
      <c r="AH163" s="52">
        <f>AI163*AH158</f>
        <v>369.35</v>
      </c>
      <c r="AI163" s="52">
        <v>415</v>
      </c>
    </row>
    <row r="164" spans="1:39">
      <c r="A164" t="s">
        <v>1382</v>
      </c>
      <c r="B164">
        <v>280</v>
      </c>
      <c r="H164" t="s">
        <v>1382</v>
      </c>
      <c r="K164" t="s">
        <v>1061</v>
      </c>
      <c r="L164" t="s">
        <v>1436</v>
      </c>
      <c r="X164" t="s">
        <v>1385</v>
      </c>
      <c r="Y164">
        <f>AI164*Y158</f>
        <v>86</v>
      </c>
      <c r="Z164">
        <f>AI164*Z158</f>
        <v>172</v>
      </c>
      <c r="AA164" s="52">
        <f>AI164*AA158</f>
        <v>258</v>
      </c>
      <c r="AB164" s="52">
        <f>AI164*AB158</f>
        <v>344</v>
      </c>
      <c r="AC164" s="52">
        <f>AI164*AC158</f>
        <v>350.45</v>
      </c>
      <c r="AD164" s="52">
        <f>AI164*AD158</f>
        <v>356.9</v>
      </c>
      <c r="AE164" s="19">
        <f>AI164*AE158</f>
        <v>363.34999999999997</v>
      </c>
      <c r="AF164" s="52">
        <f>AI164*AF158</f>
        <v>369.8</v>
      </c>
      <c r="AG164" s="52">
        <f>AI164*AG158</f>
        <v>376.25</v>
      </c>
      <c r="AH164" s="52">
        <f>AI164*AH158</f>
        <v>382.7</v>
      </c>
      <c r="AI164" s="52">
        <v>430</v>
      </c>
    </row>
    <row r="165" spans="1:39">
      <c r="A165" t="s">
        <v>1383</v>
      </c>
      <c r="C165" t="s">
        <v>1437</v>
      </c>
      <c r="D165" t="s">
        <v>1438</v>
      </c>
      <c r="H165" t="s">
        <v>1383</v>
      </c>
      <c r="I165">
        <v>480</v>
      </c>
      <c r="K165" t="s">
        <v>1065</v>
      </c>
      <c r="L165" t="s">
        <v>1439</v>
      </c>
      <c r="X165" t="s">
        <v>1386</v>
      </c>
      <c r="Y165">
        <f>AI165*Y158</f>
        <v>89</v>
      </c>
      <c r="Z165">
        <f>AI165*Z158</f>
        <v>178</v>
      </c>
      <c r="AA165" s="52">
        <f>AI165*AA158</f>
        <v>267</v>
      </c>
      <c r="AB165" s="52">
        <f>AI165*AB158</f>
        <v>356</v>
      </c>
      <c r="AC165" s="52">
        <f>AI165*AC158</f>
        <v>362.67499999999995</v>
      </c>
      <c r="AD165" s="52">
        <f>AI165*AD158</f>
        <v>369.34999999999997</v>
      </c>
      <c r="AE165" s="52">
        <f>AI165*AE158</f>
        <v>376.02499999999998</v>
      </c>
      <c r="AF165" s="19">
        <f>AI165*AF158</f>
        <v>382.7</v>
      </c>
      <c r="AG165" s="52">
        <f>AI165*AG158</f>
        <v>389.375</v>
      </c>
      <c r="AH165" s="52">
        <f>AI165*AH158</f>
        <v>396.05</v>
      </c>
      <c r="AI165" s="52">
        <v>445</v>
      </c>
    </row>
    <row r="166" spans="1:39">
      <c r="A166" t="s">
        <v>1384</v>
      </c>
      <c r="C166">
        <v>400</v>
      </c>
      <c r="E166">
        <v>400</v>
      </c>
      <c r="H166" t="s">
        <v>1384</v>
      </c>
      <c r="K166" t="s">
        <v>1069</v>
      </c>
      <c r="L166">
        <v>850</v>
      </c>
      <c r="X166" t="s">
        <v>1387</v>
      </c>
      <c r="Y166">
        <f>AI166*Y158</f>
        <v>92</v>
      </c>
      <c r="Z166">
        <f>AI166*Z158</f>
        <v>184</v>
      </c>
      <c r="AA166" s="52">
        <f>AI166*AA158</f>
        <v>276</v>
      </c>
      <c r="AB166" s="52">
        <f>AI166*AB158</f>
        <v>368</v>
      </c>
      <c r="AC166" s="52">
        <f>AI166*AC158</f>
        <v>374.9</v>
      </c>
      <c r="AD166" s="52">
        <f>AI166*AD158</f>
        <v>381.79999999999995</v>
      </c>
      <c r="AE166" s="52">
        <f>AI166*AE158</f>
        <v>388.7</v>
      </c>
      <c r="AF166" s="52">
        <f>AI166*AF158</f>
        <v>395.59999999999997</v>
      </c>
      <c r="AG166" s="52">
        <f>AI166*AG158</f>
        <v>402.5</v>
      </c>
      <c r="AH166" s="52">
        <f>AI166*AH158</f>
        <v>409.40000000000003</v>
      </c>
      <c r="AI166" s="52">
        <v>460</v>
      </c>
    </row>
    <row r="167" spans="1:39">
      <c r="A167" t="s">
        <v>1385</v>
      </c>
      <c r="C167" t="s">
        <v>1440</v>
      </c>
      <c r="H167" t="s">
        <v>1385</v>
      </c>
    </row>
    <row r="168" spans="1:39">
      <c r="A168" t="s">
        <v>1386</v>
      </c>
      <c r="H168" t="s">
        <v>1386</v>
      </c>
    </row>
    <row r="169" spans="1:39">
      <c r="A169" t="s">
        <v>1387</v>
      </c>
      <c r="H169" t="s">
        <v>1387</v>
      </c>
      <c r="Y169">
        <v>0.8</v>
      </c>
      <c r="Z169">
        <v>0.81499999999999995</v>
      </c>
      <c r="AA169">
        <v>0.83</v>
      </c>
      <c r="AB169">
        <v>0.86</v>
      </c>
      <c r="AF169">
        <v>1.2</v>
      </c>
      <c r="AJ169">
        <v>1.2</v>
      </c>
    </row>
    <row r="170" spans="1:39">
      <c r="Y170" t="s">
        <v>1430</v>
      </c>
      <c r="Z170" t="s">
        <v>1431</v>
      </c>
      <c r="AA170" t="s">
        <v>1432</v>
      </c>
      <c r="AB170" t="s">
        <v>1433</v>
      </c>
      <c r="AC170" t="s">
        <v>525</v>
      </c>
      <c r="AF170" t="s">
        <v>1434</v>
      </c>
      <c r="AG170" t="s">
        <v>525</v>
      </c>
      <c r="AJ170" t="s">
        <v>1434</v>
      </c>
      <c r="AK170" t="s">
        <v>525</v>
      </c>
    </row>
    <row r="171" spans="1:39">
      <c r="X171" t="s">
        <v>1381</v>
      </c>
      <c r="Y171" s="52">
        <f>AC171*Y169</f>
        <v>160</v>
      </c>
      <c r="Z171" s="52">
        <f>AC171*Z169</f>
        <v>163</v>
      </c>
      <c r="AA171" s="52">
        <f>AC171*AA169</f>
        <v>166</v>
      </c>
      <c r="AB171" s="52">
        <f>AC171*AB169</f>
        <v>172</v>
      </c>
      <c r="AC171" s="51">
        <v>200</v>
      </c>
      <c r="AE171" t="s">
        <v>1381</v>
      </c>
      <c r="AF171" s="52">
        <f>AG171*AF169</f>
        <v>240</v>
      </c>
      <c r="AG171" s="51">
        <v>200</v>
      </c>
      <c r="AI171" t="s">
        <v>1057</v>
      </c>
      <c r="AJ171" s="52">
        <f>AK171*AJ169</f>
        <v>480</v>
      </c>
      <c r="AK171" s="51">
        <v>400</v>
      </c>
      <c r="AM171" s="51">
        <v>400</v>
      </c>
    </row>
    <row r="172" spans="1:39">
      <c r="A172" t="s">
        <v>1380</v>
      </c>
      <c r="B172" t="s">
        <v>1430</v>
      </c>
      <c r="C172" t="s">
        <v>1431</v>
      </c>
      <c r="D172" t="s">
        <v>1432</v>
      </c>
      <c r="E172" t="s">
        <v>1433</v>
      </c>
      <c r="F172" t="s">
        <v>525</v>
      </c>
      <c r="X172" t="s">
        <v>1382</v>
      </c>
      <c r="Y172" s="19">
        <f>AC172*Y169</f>
        <v>240</v>
      </c>
      <c r="Z172" s="52">
        <f>AC172*Z169</f>
        <v>244.49999999999997</v>
      </c>
      <c r="AA172" s="52">
        <f>AC172*AA169</f>
        <v>249</v>
      </c>
      <c r="AB172" s="52">
        <f>AC172*AB169</f>
        <v>258</v>
      </c>
      <c r="AC172" s="52">
        <v>300</v>
      </c>
      <c r="AE172" t="s">
        <v>1382</v>
      </c>
      <c r="AF172" s="52">
        <f>AG172*AF169</f>
        <v>360</v>
      </c>
      <c r="AG172" s="52">
        <v>300</v>
      </c>
      <c r="AI172" t="s">
        <v>1061</v>
      </c>
      <c r="AJ172" s="52">
        <f>AK172*AJ169</f>
        <v>600</v>
      </c>
      <c r="AK172" s="52">
        <v>500</v>
      </c>
      <c r="AM172" s="52">
        <v>500</v>
      </c>
    </row>
    <row r="173" spans="1:39">
      <c r="A173" t="s">
        <v>1388</v>
      </c>
      <c r="X173" t="s">
        <v>1383</v>
      </c>
      <c r="Y173" s="52">
        <f>AC173*Y169</f>
        <v>320</v>
      </c>
      <c r="Z173" s="19">
        <f>AC173*Z169</f>
        <v>326</v>
      </c>
      <c r="AA173" s="52">
        <f>AC173*AA169</f>
        <v>332</v>
      </c>
      <c r="AB173" s="52">
        <f>AC173*AB169</f>
        <v>344</v>
      </c>
      <c r="AC173" s="52">
        <v>400</v>
      </c>
      <c r="AE173" t="s">
        <v>1383</v>
      </c>
      <c r="AF173" s="52">
        <f>AG173*AF169</f>
        <v>480</v>
      </c>
      <c r="AG173" s="52">
        <v>400</v>
      </c>
      <c r="AI173" t="s">
        <v>1065</v>
      </c>
      <c r="AJ173" s="52">
        <f>AK173*AJ169</f>
        <v>720</v>
      </c>
      <c r="AK173" s="52">
        <v>600</v>
      </c>
      <c r="AM173" s="52">
        <v>600</v>
      </c>
    </row>
    <row r="174" spans="1:39">
      <c r="A174" t="s">
        <v>1389</v>
      </c>
      <c r="X174" t="s">
        <v>1384</v>
      </c>
      <c r="Y174" s="52">
        <f>AC174*Y169</f>
        <v>332</v>
      </c>
      <c r="Z174" s="52">
        <f>AC174*Z169</f>
        <v>338.22499999999997</v>
      </c>
      <c r="AA174" s="52">
        <f>AC174*AA169</f>
        <v>344.45</v>
      </c>
      <c r="AB174" s="19">
        <f>AC174*AB169</f>
        <v>356.9</v>
      </c>
      <c r="AC174" s="52">
        <v>415</v>
      </c>
      <c r="AE174" t="s">
        <v>1384</v>
      </c>
      <c r="AF174" s="52">
        <f>AG174*AF169</f>
        <v>498</v>
      </c>
      <c r="AG174" s="52">
        <v>415</v>
      </c>
      <c r="AI174" t="s">
        <v>1069</v>
      </c>
      <c r="AJ174" s="52">
        <f>AK174*AJ169</f>
        <v>840</v>
      </c>
      <c r="AK174" s="52">
        <v>700</v>
      </c>
      <c r="AM174" s="52">
        <v>700</v>
      </c>
    </row>
    <row r="175" spans="1:39">
      <c r="A175" t="s">
        <v>1390</v>
      </c>
      <c r="X175" t="s">
        <v>1385</v>
      </c>
      <c r="Y175" s="52">
        <f>AC175*Y169</f>
        <v>344</v>
      </c>
      <c r="Z175" s="52">
        <f>AC175*Z169</f>
        <v>350.45</v>
      </c>
      <c r="AA175" s="52">
        <f>AC175*AA169</f>
        <v>356.9</v>
      </c>
      <c r="AB175" s="52">
        <f>AC175*AB169</f>
        <v>369.8</v>
      </c>
      <c r="AC175" s="52">
        <v>430</v>
      </c>
      <c r="AE175" t="s">
        <v>1385</v>
      </c>
      <c r="AF175" s="52">
        <f>AG175*AF169</f>
        <v>516</v>
      </c>
      <c r="AG175" s="52">
        <v>430</v>
      </c>
    </row>
    <row r="176" spans="1:39">
      <c r="X176" t="s">
        <v>1386</v>
      </c>
      <c r="Y176" s="52">
        <f>AC176*Y169</f>
        <v>356</v>
      </c>
      <c r="Z176" s="52">
        <f>AC176*Z169</f>
        <v>362.67499999999995</v>
      </c>
      <c r="AA176" s="52">
        <f>AC176*AA169</f>
        <v>369.34999999999997</v>
      </c>
      <c r="AB176" s="52">
        <f>AC176*AB169</f>
        <v>382.7</v>
      </c>
      <c r="AC176" s="52">
        <v>445</v>
      </c>
      <c r="AE176" t="s">
        <v>1386</v>
      </c>
      <c r="AF176" s="52">
        <f>AG176*AF169</f>
        <v>534</v>
      </c>
      <c r="AG176" s="52">
        <v>445</v>
      </c>
      <c r="AJ176">
        <v>1</v>
      </c>
    </row>
    <row r="177" spans="1:37">
      <c r="X177" t="s">
        <v>1387</v>
      </c>
      <c r="Y177" s="52">
        <f>AC177*Y169</f>
        <v>368</v>
      </c>
      <c r="Z177" s="52">
        <f>AC177*Z169</f>
        <v>374.9</v>
      </c>
      <c r="AA177" s="52">
        <f>AC177*AA169</f>
        <v>381.79999999999995</v>
      </c>
      <c r="AB177" s="52">
        <f>AC177*AB169</f>
        <v>395.59999999999997</v>
      </c>
      <c r="AC177" s="52">
        <v>460</v>
      </c>
      <c r="AE177" t="s">
        <v>1387</v>
      </c>
      <c r="AF177" s="52">
        <f>AG177*AF169</f>
        <v>552</v>
      </c>
      <c r="AG177" s="52">
        <v>460</v>
      </c>
      <c r="AJ177" t="s">
        <v>1441</v>
      </c>
      <c r="AK177" t="s">
        <v>525</v>
      </c>
    </row>
    <row r="178" spans="1:37">
      <c r="B178" t="s">
        <v>1442</v>
      </c>
      <c r="C178" t="s">
        <v>1443</v>
      </c>
      <c r="D178" t="s">
        <v>1444</v>
      </c>
      <c r="E178" t="s">
        <v>1445</v>
      </c>
      <c r="H178" t="s">
        <v>1446</v>
      </c>
      <c r="I178" t="s">
        <v>1447</v>
      </c>
      <c r="J178" t="s">
        <v>1448</v>
      </c>
      <c r="AI178" t="s">
        <v>1057</v>
      </c>
      <c r="AJ178">
        <v>500</v>
      </c>
    </row>
    <row r="179" spans="1:37">
      <c r="A179" t="s">
        <v>1360</v>
      </c>
      <c r="B179" t="s">
        <v>1449</v>
      </c>
      <c r="C179" t="s">
        <v>1450</v>
      </c>
      <c r="G179" t="s">
        <v>1360</v>
      </c>
      <c r="H179">
        <v>83</v>
      </c>
      <c r="I179">
        <v>83</v>
      </c>
      <c r="AI179" t="s">
        <v>1061</v>
      </c>
      <c r="AJ179">
        <v>650</v>
      </c>
    </row>
    <row r="180" spans="1:37">
      <c r="A180" t="s">
        <v>1451</v>
      </c>
      <c r="G180" t="s">
        <v>1451</v>
      </c>
      <c r="Y180">
        <v>0.8</v>
      </c>
      <c r="Z180">
        <v>0.81499999999999995</v>
      </c>
      <c r="AA180">
        <v>0.83</v>
      </c>
      <c r="AB180">
        <v>0.86</v>
      </c>
      <c r="AI180" t="s">
        <v>1065</v>
      </c>
      <c r="AJ180">
        <v>800</v>
      </c>
    </row>
    <row r="181" spans="1:37">
      <c r="A181" t="s">
        <v>1452</v>
      </c>
      <c r="B181">
        <v>60</v>
      </c>
      <c r="C181">
        <v>70</v>
      </c>
      <c r="G181" t="s">
        <v>1452</v>
      </c>
      <c r="X181" t="s">
        <v>1380</v>
      </c>
      <c r="Y181" t="s">
        <v>1430</v>
      </c>
      <c r="Z181" t="s">
        <v>1431</v>
      </c>
      <c r="AA181" t="s">
        <v>1432</v>
      </c>
      <c r="AB181" t="s">
        <v>1433</v>
      </c>
      <c r="AC181" t="s">
        <v>525</v>
      </c>
      <c r="AI181" t="s">
        <v>1069</v>
      </c>
      <c r="AJ181">
        <v>1000</v>
      </c>
    </row>
    <row r="182" spans="1:37">
      <c r="A182" t="s">
        <v>1453</v>
      </c>
      <c r="C182" t="s">
        <v>1454</v>
      </c>
      <c r="G182" t="s">
        <v>1453</v>
      </c>
      <c r="H182">
        <v>95</v>
      </c>
      <c r="X182" t="s">
        <v>1388</v>
      </c>
      <c r="Y182" s="52">
        <f>AC182*Y180</f>
        <v>380</v>
      </c>
      <c r="Z182" s="52">
        <f>AC182*Z180</f>
        <v>387.125</v>
      </c>
      <c r="AA182" s="52">
        <f>AC182*AA180</f>
        <v>394.25</v>
      </c>
      <c r="AB182" s="52">
        <f>AC182*AB180</f>
        <v>408.5</v>
      </c>
      <c r="AC182">
        <v>475</v>
      </c>
      <c r="AI182" t="s">
        <v>1146</v>
      </c>
      <c r="AJ182">
        <v>1200</v>
      </c>
    </row>
    <row r="183" spans="1:37">
      <c r="A183" t="s">
        <v>1371</v>
      </c>
      <c r="G183" t="s">
        <v>1371</v>
      </c>
      <c r="H183" t="s">
        <v>1455</v>
      </c>
      <c r="X183" t="s">
        <v>1389</v>
      </c>
      <c r="Y183" s="52">
        <f>AC183*Y180</f>
        <v>392</v>
      </c>
      <c r="Z183" s="52">
        <f>AC183*Z180</f>
        <v>399.34999999999997</v>
      </c>
      <c r="AA183" s="52">
        <f>AC183*AA180</f>
        <v>406.7</v>
      </c>
      <c r="AB183" s="52">
        <f>AC183*AB180</f>
        <v>421.4</v>
      </c>
      <c r="AC183">
        <v>490</v>
      </c>
    </row>
    <row r="184" spans="1:37">
      <c r="A184" t="s">
        <v>1372</v>
      </c>
      <c r="G184" t="s">
        <v>1372</v>
      </c>
      <c r="H184" t="s">
        <v>1456</v>
      </c>
      <c r="I184" t="s">
        <v>1457</v>
      </c>
      <c r="J184">
        <v>240</v>
      </c>
      <c r="X184" t="s">
        <v>1390</v>
      </c>
      <c r="Y184" s="52">
        <f>AC184*Y180</f>
        <v>404</v>
      </c>
      <c r="Z184" s="52">
        <f>AC184*Z180</f>
        <v>411.57499999999999</v>
      </c>
      <c r="AA184" s="52">
        <f>AC184*AA180</f>
        <v>419.15</v>
      </c>
      <c r="AB184" s="52">
        <f>AC184*AB180</f>
        <v>434.3</v>
      </c>
      <c r="AC184">
        <v>505</v>
      </c>
    </row>
    <row r="185" spans="1:37">
      <c r="A185" t="s">
        <v>1374</v>
      </c>
      <c r="E185">
        <v>100</v>
      </c>
      <c r="G185" t="s">
        <v>1374</v>
      </c>
    </row>
    <row r="187" spans="1:37">
      <c r="Y187">
        <v>0.25</v>
      </c>
      <c r="Z187">
        <v>0.45</v>
      </c>
      <c r="AA187">
        <v>0.65</v>
      </c>
      <c r="AB187">
        <v>0.85</v>
      </c>
      <c r="AF187">
        <v>1.1000000000000001</v>
      </c>
      <c r="AG187">
        <v>1.35</v>
      </c>
      <c r="AH187">
        <v>1.6</v>
      </c>
    </row>
    <row r="188" spans="1:37">
      <c r="Y188" t="s">
        <v>1442</v>
      </c>
      <c r="Z188" t="s">
        <v>1443</v>
      </c>
      <c r="AA188" t="s">
        <v>1444</v>
      </c>
      <c r="AB188" t="s">
        <v>1445</v>
      </c>
      <c r="AC188" t="s">
        <v>525</v>
      </c>
      <c r="AF188" t="s">
        <v>1446</v>
      </c>
      <c r="AG188" t="s">
        <v>1447</v>
      </c>
      <c r="AH188" t="s">
        <v>1448</v>
      </c>
      <c r="AI188" t="s">
        <v>525</v>
      </c>
    </row>
    <row r="189" spans="1:37">
      <c r="X189" t="s">
        <v>1360</v>
      </c>
      <c r="Y189" s="19">
        <f>AC189*Y187</f>
        <v>20</v>
      </c>
      <c r="Z189" s="19">
        <f>AC189*Z187</f>
        <v>36</v>
      </c>
      <c r="AA189" s="52">
        <f>AC189*AA187</f>
        <v>52</v>
      </c>
      <c r="AB189" s="52">
        <f>AC189*AB187</f>
        <v>68</v>
      </c>
      <c r="AC189" s="51">
        <v>80</v>
      </c>
      <c r="AE189" t="s">
        <v>1360</v>
      </c>
      <c r="AF189" s="65">
        <f>AI189*AF187</f>
        <v>88</v>
      </c>
      <c r="AG189" s="52">
        <f>AI189*AG187</f>
        <v>108</v>
      </c>
      <c r="AH189" s="52">
        <f>AI189*AH187</f>
        <v>128</v>
      </c>
      <c r="AI189" s="51">
        <v>80</v>
      </c>
    </row>
    <row r="190" spans="1:37">
      <c r="X190" t="s">
        <v>1451</v>
      </c>
      <c r="Y190" s="52">
        <f>AC190*Y187</f>
        <v>22.5</v>
      </c>
      <c r="Z190" s="52">
        <f>AC190*Z187</f>
        <v>40.5</v>
      </c>
      <c r="AA190" s="52">
        <f>AC190*AA187</f>
        <v>58.5</v>
      </c>
      <c r="AB190" s="52">
        <f>AC190*AB187</f>
        <v>76.5</v>
      </c>
      <c r="AC190" s="52">
        <v>90</v>
      </c>
      <c r="AE190" t="s">
        <v>1451</v>
      </c>
      <c r="AF190" s="52">
        <f>AI190*AF187</f>
        <v>99.000000000000014</v>
      </c>
      <c r="AG190" s="52">
        <f>AI190*AG187</f>
        <v>121.50000000000001</v>
      </c>
      <c r="AH190" s="52">
        <f>AI190*AH187</f>
        <v>144</v>
      </c>
      <c r="AI190" s="52">
        <v>90</v>
      </c>
    </row>
    <row r="191" spans="1:37">
      <c r="X191" t="s">
        <v>1452</v>
      </c>
      <c r="Y191" s="52">
        <f>AC191*Y187</f>
        <v>25</v>
      </c>
      <c r="Z191" s="52">
        <f>AC191*Z187</f>
        <v>45</v>
      </c>
      <c r="AA191" s="52">
        <f>AC191*AA187</f>
        <v>65</v>
      </c>
      <c r="AB191" s="52">
        <f>AC191*AB187</f>
        <v>85</v>
      </c>
      <c r="AC191" s="52">
        <v>100</v>
      </c>
      <c r="AE191" t="s">
        <v>1452</v>
      </c>
      <c r="AF191" s="52">
        <f>AI191*AF187</f>
        <v>110.00000000000001</v>
      </c>
      <c r="AG191" s="52">
        <f>AI191*AG187</f>
        <v>135</v>
      </c>
      <c r="AH191" s="52">
        <f>AI191*AH187</f>
        <v>160</v>
      </c>
      <c r="AI191" s="52">
        <v>100</v>
      </c>
    </row>
    <row r="192" spans="1:37">
      <c r="A192" t="s">
        <v>1380</v>
      </c>
      <c r="B192" t="s">
        <v>1415</v>
      </c>
      <c r="C192" t="s">
        <v>1417</v>
      </c>
      <c r="D192" t="s">
        <v>1458</v>
      </c>
      <c r="E192" t="s">
        <v>1459</v>
      </c>
      <c r="G192" t="s">
        <v>1380</v>
      </c>
      <c r="H192" t="s">
        <v>1446</v>
      </c>
      <c r="I192" t="s">
        <v>1447</v>
      </c>
      <c r="J192" t="s">
        <v>1448</v>
      </c>
      <c r="X192" t="s">
        <v>1453</v>
      </c>
      <c r="Y192" s="52">
        <f>AC192*Y187</f>
        <v>27.5</v>
      </c>
      <c r="Z192" s="52">
        <f>AC192*Z187</f>
        <v>49.5</v>
      </c>
      <c r="AA192" s="52">
        <f>AC192*AA187</f>
        <v>71.5</v>
      </c>
      <c r="AB192" s="52">
        <f>AC192*AB187</f>
        <v>93.5</v>
      </c>
      <c r="AC192" s="52">
        <v>110</v>
      </c>
      <c r="AE192" t="s">
        <v>1453</v>
      </c>
      <c r="AF192" s="52">
        <f>AI192*AF187</f>
        <v>121.00000000000001</v>
      </c>
      <c r="AG192" s="52">
        <f>AI192*AG187</f>
        <v>148.5</v>
      </c>
      <c r="AH192" s="52">
        <f>AI192*AH187</f>
        <v>176</v>
      </c>
      <c r="AI192" s="52">
        <v>110</v>
      </c>
    </row>
    <row r="193" spans="1:35">
      <c r="A193" t="s">
        <v>1453</v>
      </c>
      <c r="G193" t="s">
        <v>1453</v>
      </c>
      <c r="X193" t="s">
        <v>1371</v>
      </c>
      <c r="Y193" s="52">
        <f>AC193*Y187</f>
        <v>30</v>
      </c>
      <c r="Z193" s="52">
        <f>AC193*Z187</f>
        <v>54</v>
      </c>
      <c r="AA193" s="52">
        <f>AC193*AA187</f>
        <v>78</v>
      </c>
      <c r="AB193" s="52">
        <f>AC193*AB187</f>
        <v>102</v>
      </c>
      <c r="AC193" s="52">
        <v>120</v>
      </c>
      <c r="AE193" t="s">
        <v>1371</v>
      </c>
      <c r="AF193" s="52">
        <f>AI193*AF187</f>
        <v>132</v>
      </c>
      <c r="AG193" s="52">
        <f>AI193*AG187</f>
        <v>162</v>
      </c>
      <c r="AH193" s="52">
        <f>AI193*AH187</f>
        <v>192</v>
      </c>
      <c r="AI193" s="52">
        <v>120</v>
      </c>
    </row>
    <row r="194" spans="1:35">
      <c r="A194" t="s">
        <v>1371</v>
      </c>
      <c r="C194">
        <v>100</v>
      </c>
      <c r="G194" t="s">
        <v>1371</v>
      </c>
      <c r="H194">
        <v>234</v>
      </c>
      <c r="X194" t="s">
        <v>1372</v>
      </c>
      <c r="Y194" s="52">
        <f>AC194*Y187</f>
        <v>32.5</v>
      </c>
      <c r="Z194" s="52">
        <f>AC194*Z187</f>
        <v>58.5</v>
      </c>
      <c r="AA194" s="52">
        <f>AC194*AA187</f>
        <v>84.5</v>
      </c>
      <c r="AB194" s="52">
        <f>AC194*AB187</f>
        <v>110.5</v>
      </c>
      <c r="AC194" s="52">
        <v>130</v>
      </c>
      <c r="AE194" t="s">
        <v>1372</v>
      </c>
      <c r="AF194" s="52">
        <f>AI194*AF187</f>
        <v>143</v>
      </c>
      <c r="AG194" s="52">
        <f>AI194*AG187</f>
        <v>175.5</v>
      </c>
      <c r="AH194" s="52">
        <f>AI194*AH187</f>
        <v>208</v>
      </c>
      <c r="AI194" s="52">
        <v>130</v>
      </c>
    </row>
    <row r="195" spans="1:35">
      <c r="A195" t="s">
        <v>1372</v>
      </c>
      <c r="G195" t="s">
        <v>1372</v>
      </c>
      <c r="X195" t="s">
        <v>1374</v>
      </c>
      <c r="Y195" s="52">
        <f>AC195*Y187</f>
        <v>35</v>
      </c>
      <c r="Z195" s="52">
        <f>AC195*Z187</f>
        <v>63</v>
      </c>
      <c r="AA195" s="52">
        <f>AC195*AA187</f>
        <v>91</v>
      </c>
      <c r="AB195" s="52">
        <f>AC195*AB187</f>
        <v>119</v>
      </c>
      <c r="AC195" s="52">
        <v>140</v>
      </c>
      <c r="AE195" t="s">
        <v>1374</v>
      </c>
      <c r="AF195" s="52">
        <f>AI195*AF187</f>
        <v>154</v>
      </c>
      <c r="AG195" s="52">
        <f>AI195*AG187</f>
        <v>189</v>
      </c>
      <c r="AH195" s="52">
        <f>AI195*AH187</f>
        <v>224</v>
      </c>
      <c r="AI195" s="52">
        <v>140</v>
      </c>
    </row>
    <row r="196" spans="1:35">
      <c r="A196" t="s">
        <v>1374</v>
      </c>
      <c r="G196" t="s">
        <v>1374</v>
      </c>
      <c r="J196">
        <v>300</v>
      </c>
    </row>
    <row r="198" spans="1:35">
      <c r="Y198">
        <v>0.25</v>
      </c>
      <c r="Z198">
        <v>0.45</v>
      </c>
      <c r="AA198">
        <v>0.65</v>
      </c>
      <c r="AB198">
        <v>0.85</v>
      </c>
      <c r="AF198">
        <v>1.1000000000000001</v>
      </c>
      <c r="AG198">
        <v>1.35</v>
      </c>
      <c r="AH198">
        <v>1.6</v>
      </c>
    </row>
    <row r="199" spans="1:35">
      <c r="X199" t="s">
        <v>1380</v>
      </c>
      <c r="Y199" t="s">
        <v>1415</v>
      </c>
      <c r="Z199" t="s">
        <v>1417</v>
      </c>
      <c r="AA199" t="s">
        <v>1458</v>
      </c>
      <c r="AB199" t="s">
        <v>1459</v>
      </c>
      <c r="AC199" t="s">
        <v>525</v>
      </c>
      <c r="AE199" t="s">
        <v>1380</v>
      </c>
      <c r="AF199" t="s">
        <v>1446</v>
      </c>
      <c r="AG199" t="s">
        <v>1447</v>
      </c>
      <c r="AH199" t="s">
        <v>1448</v>
      </c>
      <c r="AI199" t="s">
        <v>525</v>
      </c>
    </row>
    <row r="200" spans="1:35">
      <c r="X200" t="s">
        <v>1453</v>
      </c>
      <c r="Y200" s="52">
        <f>AC200*Y198</f>
        <v>31.25</v>
      </c>
      <c r="Z200" s="52">
        <f>AC200*Z198</f>
        <v>56.25</v>
      </c>
      <c r="AA200" s="52">
        <f>AC200*AA198</f>
        <v>81.25</v>
      </c>
      <c r="AB200" s="52">
        <f>AC200*AB198</f>
        <v>106.25</v>
      </c>
      <c r="AC200" s="51">
        <v>125</v>
      </c>
      <c r="AE200" t="s">
        <v>1453</v>
      </c>
      <c r="AF200" s="52">
        <f>AI200*AF198</f>
        <v>137.5</v>
      </c>
      <c r="AG200" s="52">
        <f>AI200*AG198</f>
        <v>168.75</v>
      </c>
      <c r="AH200" s="52">
        <f>AI200*AH198</f>
        <v>200</v>
      </c>
      <c r="AI200" s="51">
        <v>125</v>
      </c>
    </row>
    <row r="201" spans="1:35">
      <c r="X201" t="s">
        <v>1371</v>
      </c>
      <c r="Y201" s="52">
        <f>AC201*Y198</f>
        <v>33.75</v>
      </c>
      <c r="Z201" s="52">
        <f>AC201*Z198</f>
        <v>60.75</v>
      </c>
      <c r="AA201" s="52">
        <f>AC201*AA198</f>
        <v>87.75</v>
      </c>
      <c r="AB201" s="52">
        <f>AC201*AB198</f>
        <v>114.75</v>
      </c>
      <c r="AC201" s="52">
        <v>135</v>
      </c>
      <c r="AE201" t="s">
        <v>1371</v>
      </c>
      <c r="AF201" s="52">
        <f>AI201*AF198</f>
        <v>148.5</v>
      </c>
      <c r="AG201" s="52">
        <f>AI201*AG198</f>
        <v>182.25</v>
      </c>
      <c r="AH201" s="52">
        <f>AI201*AH198</f>
        <v>216</v>
      </c>
      <c r="AI201" s="52">
        <v>135</v>
      </c>
    </row>
    <row r="202" spans="1:35">
      <c r="X202" t="s">
        <v>1372</v>
      </c>
      <c r="Y202" s="52">
        <f>AC202*Y198</f>
        <v>36.25</v>
      </c>
      <c r="Z202" s="52">
        <f>AC202*Z198</f>
        <v>65.25</v>
      </c>
      <c r="AA202" s="52">
        <f>AC202*AA198</f>
        <v>94.25</v>
      </c>
      <c r="AB202" s="52">
        <f>AC202*AB198</f>
        <v>123.25</v>
      </c>
      <c r="AC202" s="52">
        <v>145</v>
      </c>
      <c r="AE202" t="s">
        <v>1372</v>
      </c>
      <c r="AF202" s="52">
        <f>AI202*AF198</f>
        <v>159.5</v>
      </c>
      <c r="AG202" s="52">
        <f>AI202*AG198</f>
        <v>195.75</v>
      </c>
      <c r="AH202" s="52">
        <f>AI202*AH198</f>
        <v>232</v>
      </c>
      <c r="AI202" s="52">
        <v>145</v>
      </c>
    </row>
    <row r="203" spans="1:35">
      <c r="X203" t="s">
        <v>1374</v>
      </c>
      <c r="Y203" s="52">
        <f>AC203*Y198</f>
        <v>38.75</v>
      </c>
      <c r="Z203" s="52">
        <f>AC203*Z198</f>
        <v>69.75</v>
      </c>
      <c r="AA203" s="52">
        <f>AC203*AA198</f>
        <v>100.75</v>
      </c>
      <c r="AB203" s="52">
        <f>AC203*AB198</f>
        <v>131.75</v>
      </c>
      <c r="AC203">
        <v>155</v>
      </c>
      <c r="AE203" t="s">
        <v>1374</v>
      </c>
      <c r="AF203" s="52">
        <f>AI203*AF198</f>
        <v>170.5</v>
      </c>
      <c r="AG203" s="52">
        <f>AI203*AG198</f>
        <v>209.25</v>
      </c>
      <c r="AH203" s="19">
        <f>AI203*AH198</f>
        <v>248</v>
      </c>
      <c r="AI203">
        <v>155</v>
      </c>
    </row>
    <row r="206" spans="1:35">
      <c r="Y206">
        <v>0.45</v>
      </c>
      <c r="Z206">
        <v>0.7</v>
      </c>
      <c r="AA206">
        <v>0.85</v>
      </c>
      <c r="AC206">
        <v>1.125</v>
      </c>
      <c r="AD206">
        <v>1.1499999999999999</v>
      </c>
      <c r="AE206">
        <v>1.175</v>
      </c>
      <c r="AF206">
        <v>1.2</v>
      </c>
      <c r="AG206">
        <v>1.2250000000000001</v>
      </c>
      <c r="AH206">
        <v>1.25</v>
      </c>
    </row>
    <row r="207" spans="1:35">
      <c r="Y207" t="s">
        <v>1347</v>
      </c>
      <c r="Z207" t="s">
        <v>1348</v>
      </c>
      <c r="AA207" t="s">
        <v>1349</v>
      </c>
      <c r="AB207" t="s">
        <v>1350</v>
      </c>
      <c r="AC207" t="s">
        <v>1351</v>
      </c>
      <c r="AD207" t="s">
        <v>1352</v>
      </c>
      <c r="AE207" t="s">
        <v>1353</v>
      </c>
      <c r="AF207" t="s">
        <v>1354</v>
      </c>
      <c r="AG207" t="s">
        <v>1355</v>
      </c>
      <c r="AH207" t="s">
        <v>1356</v>
      </c>
    </row>
    <row r="208" spans="1:35">
      <c r="X208" t="s">
        <v>1051</v>
      </c>
      <c r="Y208" s="52">
        <f>AB208*Y206</f>
        <v>54</v>
      </c>
      <c r="Z208" s="52">
        <f>AB208*Z206</f>
        <v>84</v>
      </c>
      <c r="AA208" s="52">
        <f>AB208*AA206</f>
        <v>102</v>
      </c>
      <c r="AB208" s="15">
        <v>120</v>
      </c>
      <c r="AC208">
        <f>AB208*AC206</f>
        <v>135</v>
      </c>
      <c r="AD208">
        <f>AB208*AD206</f>
        <v>138</v>
      </c>
      <c r="AE208">
        <f>AB208*AE206</f>
        <v>141</v>
      </c>
      <c r="AF208">
        <f>AB208*AF206</f>
        <v>144</v>
      </c>
      <c r="AG208">
        <f>AB208*AG206</f>
        <v>147</v>
      </c>
      <c r="AH208">
        <f>AB208*AH206</f>
        <v>150</v>
      </c>
    </row>
    <row r="211" spans="24:37">
      <c r="Y211">
        <v>0.45</v>
      </c>
      <c r="Z211">
        <v>0.7</v>
      </c>
      <c r="AA211">
        <v>0.85</v>
      </c>
      <c r="AC211">
        <v>1.125</v>
      </c>
      <c r="AD211">
        <v>1.1499999999999999</v>
      </c>
      <c r="AE211">
        <v>1.175</v>
      </c>
      <c r="AF211">
        <v>1.2</v>
      </c>
      <c r="AG211">
        <v>1.2250000000000001</v>
      </c>
      <c r="AH211">
        <v>1.25</v>
      </c>
      <c r="AI211" s="52">
        <v>1.4</v>
      </c>
      <c r="AJ211" s="52">
        <v>1.45</v>
      </c>
      <c r="AK211" s="52">
        <v>1.5</v>
      </c>
    </row>
    <row r="212" spans="24:37">
      <c r="Y212" t="s">
        <v>1347</v>
      </c>
      <c r="Z212" t="s">
        <v>1348</v>
      </c>
      <c r="AA212" t="s">
        <v>1349</v>
      </c>
      <c r="AB212" t="s">
        <v>1350</v>
      </c>
      <c r="AC212" t="s">
        <v>1351</v>
      </c>
      <c r="AD212" t="s">
        <v>1352</v>
      </c>
      <c r="AE212" t="s">
        <v>1353</v>
      </c>
      <c r="AF212" t="s">
        <v>1354</v>
      </c>
      <c r="AG212" t="s">
        <v>1355</v>
      </c>
      <c r="AH212" t="s">
        <v>1356</v>
      </c>
      <c r="AI212" t="s">
        <v>1357</v>
      </c>
      <c r="AJ212" t="s">
        <v>1358</v>
      </c>
      <c r="AK212" t="s">
        <v>1359</v>
      </c>
    </row>
    <row r="213" spans="24:37">
      <c r="X213" t="s">
        <v>1072</v>
      </c>
      <c r="Y213" s="58">
        <f>AB213*Y211</f>
        <v>9</v>
      </c>
      <c r="Z213" s="58">
        <f>AB213*Z211</f>
        <v>14</v>
      </c>
      <c r="AA213" s="58">
        <f>AB213*AA211</f>
        <v>17</v>
      </c>
      <c r="AB213" s="58">
        <v>20</v>
      </c>
      <c r="AC213" s="58">
        <f>AB213*AC211</f>
        <v>22.5</v>
      </c>
      <c r="AD213" s="58">
        <f>AB213*AD211</f>
        <v>23</v>
      </c>
      <c r="AE213" s="58">
        <f>AB213*AE211</f>
        <v>23.5</v>
      </c>
      <c r="AF213" s="58">
        <f>AB213*AF211</f>
        <v>24</v>
      </c>
      <c r="AG213" s="58">
        <f>AB213*AG211</f>
        <v>24.5</v>
      </c>
      <c r="AH213" s="58">
        <f>AB213*AH211</f>
        <v>25</v>
      </c>
      <c r="AI213">
        <f>AB213*AI211</f>
        <v>28</v>
      </c>
      <c r="AJ213">
        <f>AB213*AJ211</f>
        <v>29</v>
      </c>
      <c r="AK213">
        <f>AB213*AK211</f>
        <v>30</v>
      </c>
    </row>
    <row r="214" spans="24:37">
      <c r="Y214" s="58">
        <f>AB214*Y211</f>
        <v>11.25</v>
      </c>
      <c r="Z214" s="58">
        <f>AB214*Z211</f>
        <v>17.5</v>
      </c>
      <c r="AA214" s="58">
        <f>AB214*AA211</f>
        <v>21.25</v>
      </c>
      <c r="AB214" s="58">
        <v>25</v>
      </c>
      <c r="AC214" s="58">
        <f>AB214*AC211</f>
        <v>28.125</v>
      </c>
      <c r="AD214" s="58">
        <f>AB214*AD211</f>
        <v>28.749999999999996</v>
      </c>
      <c r="AE214" s="58">
        <f>AB214*AE211</f>
        <v>29.375</v>
      </c>
      <c r="AF214" s="58">
        <f>AB214*AF211</f>
        <v>30</v>
      </c>
      <c r="AG214" s="58">
        <f>AB214*AG211</f>
        <v>30.625000000000004</v>
      </c>
      <c r="AH214" s="58">
        <f>AB214*AH211</f>
        <v>31.25</v>
      </c>
      <c r="AI214">
        <f>AB214*AI211</f>
        <v>35</v>
      </c>
      <c r="AJ214">
        <f>AB214*AJ211</f>
        <v>36.25</v>
      </c>
      <c r="AK214">
        <f>AB214*AK211</f>
        <v>37.5</v>
      </c>
    </row>
    <row r="215" spans="24:37">
      <c r="Y215" s="58">
        <f>AB215*Y211</f>
        <v>13.5</v>
      </c>
      <c r="Z215" s="58">
        <f>AB215*Z211</f>
        <v>21</v>
      </c>
      <c r="AA215" s="58">
        <f>AB215*AA211</f>
        <v>25.5</v>
      </c>
      <c r="AB215" s="58">
        <v>30</v>
      </c>
      <c r="AC215" s="58">
        <f>AB215*AC211</f>
        <v>33.75</v>
      </c>
      <c r="AD215" s="58">
        <f>AB215*AD211</f>
        <v>34.5</v>
      </c>
      <c r="AE215" s="58">
        <f>AB215*AE211</f>
        <v>35.25</v>
      </c>
      <c r="AF215" s="58">
        <f>AB215*AF211</f>
        <v>36</v>
      </c>
      <c r="AG215" s="58">
        <f>AB215*AG211</f>
        <v>36.75</v>
      </c>
      <c r="AH215" s="58">
        <f>AB215*AH211</f>
        <v>37.5</v>
      </c>
      <c r="AI215">
        <f>AB215*AI211</f>
        <v>42</v>
      </c>
      <c r="AJ215">
        <f>AB215*AJ211</f>
        <v>43.5</v>
      </c>
      <c r="AK215">
        <f>AB215*AK211</f>
        <v>45</v>
      </c>
    </row>
    <row r="216" spans="24:37">
      <c r="Y216" s="58">
        <f>AB216*Y211</f>
        <v>15.75</v>
      </c>
      <c r="Z216" s="58">
        <f>AB216*Z211</f>
        <v>24.5</v>
      </c>
      <c r="AA216" s="58">
        <f>AB216*AA211</f>
        <v>29.75</v>
      </c>
      <c r="AB216" s="58">
        <v>35</v>
      </c>
      <c r="AC216" s="58">
        <f>AB216*AC211</f>
        <v>39.375</v>
      </c>
      <c r="AD216" s="58">
        <f>AB216*AD211</f>
        <v>40.25</v>
      </c>
      <c r="AE216" s="58">
        <f>AB216*AE211</f>
        <v>41.125</v>
      </c>
      <c r="AF216" s="58">
        <f>AB216*AF211</f>
        <v>42</v>
      </c>
      <c r="AG216" s="58">
        <f>AB216*AG211</f>
        <v>42.875</v>
      </c>
      <c r="AH216" s="58">
        <f>AB216*AH211</f>
        <v>43.75</v>
      </c>
      <c r="AI216">
        <f>AB216*AI211</f>
        <v>49</v>
      </c>
      <c r="AJ216">
        <f>AB216*AJ211</f>
        <v>50.75</v>
      </c>
      <c r="AK216">
        <f>AB216*AK211</f>
        <v>52.5</v>
      </c>
    </row>
    <row r="217" spans="24:37">
      <c r="Y217" s="58">
        <f>AB217*Y211</f>
        <v>18</v>
      </c>
      <c r="Z217" s="58">
        <f>AB217*Z211</f>
        <v>28</v>
      </c>
      <c r="AA217" s="58">
        <f>AB217*AA211</f>
        <v>34</v>
      </c>
      <c r="AB217" s="58">
        <v>40</v>
      </c>
      <c r="AC217" s="58">
        <f>AB217*AC211</f>
        <v>45</v>
      </c>
      <c r="AD217" s="58">
        <f>AB217*AD211</f>
        <v>46</v>
      </c>
      <c r="AE217" s="58">
        <f>AB217*AE211</f>
        <v>47</v>
      </c>
      <c r="AF217" s="58">
        <f>AB217*AF211</f>
        <v>48</v>
      </c>
      <c r="AG217" s="58">
        <f>AB217*AG211</f>
        <v>49</v>
      </c>
      <c r="AH217" s="58">
        <f>AB217*AH211</f>
        <v>50</v>
      </c>
      <c r="AI217">
        <f>AB217*AI211</f>
        <v>56</v>
      </c>
      <c r="AJ217">
        <f>AB217*AJ211</f>
        <v>58</v>
      </c>
      <c r="AK217">
        <f>AB217*AK211</f>
        <v>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cols>
    <col min="1" max="1" width="42" customWidth="1"/>
    <col min="2" max="2" width="30" customWidth="1"/>
    <col min="3" max="13" width="16" customWidth="1"/>
  </cols>
  <sheetData>
    <row r="1">
      <c r="A1" t="inlineStr">
        <is>
          <t xml:space="preserve">CWIC Tank Designer - implementation status</t>
        </is>
      </c>
    </row>
    <row r="2">
      <c r="A2" t="inlineStr">
        <is>
          <t xml:space="preserve">Generated by the 2026-09-05 verification pass. Module tables were surgically reconciled; target cells and formulas were preserved.</t>
        </is>
      </c>
    </row>
    <row r="3"/>
    <row r="4">
      <c r="A4" t="inlineStr">
        <is>
          <t xml:space="preserve">Coverage</t>
        </is>
      </c>
    </row>
    <row r="5">
      <c r="A5" t="inlineStr">
        <is>
          <t xml:space="preserve">Section</t>
        </is>
      </c>
      <c r="B5" t="inlineStr">
        <is>
          <t xml:space="preserve">Rows</t>
        </is>
      </c>
      <c r="C5" t="inlineStr">
        <is>
          <t xml:space="preserve">Status</t>
        </is>
      </c>
    </row>
    <row r="6">
      <c r="A6" t="inlineStr">
        <is>
          <t xml:space="preserve">Hulls</t>
        </is>
      </c>
      <c r="B6">
        <v>25</v>
      </c>
      <c r="C6" t="inlineStr">
        <is>
          <t xml:space="preserve">VERIFIED - 200/200 stat cells match script</t>
        </is>
      </c>
    </row>
    <row r="7">
      <c r="A7" t="inlineStr">
        <is>
          <t xml:space="preserve">All module sections</t>
        </is>
      </c>
      <c r="B7">
        <v>246</v>
      </c>
      <c r="C7" t="inlineStr">
        <is>
          <t xml:space="preserve">VERIFIED - 1702/1702 stat/resource cells match script</t>
        </is>
      </c>
    </row>
    <row r="8">
      <c r="A8" t="inlineStr">
        <is>
          <t xml:space="preserve">Script-owned modules</t>
        </is>
      </c>
      <c r="B8">
        <v>22</v>
      </c>
      <c r="C8" t="inlineStr">
        <is>
          <t xml:space="preserve">DOCUMENTED - 22 rows reconciled with direct script data</t>
        </is>
      </c>
    </row>
    <row r="9">
      <c r="A9" t="inlineStr">
        <is>
          <t xml:space="preserve">Mechanized</t>
        </is>
      </c>
      <c r="B9">
        <v>18</v>
      </c>
      <c r="C9" t="inlineStr">
        <is>
          <t xml:space="preserve">OUT OF SCOPE for the tank designer pass</t>
        </is>
      </c>
    </row>
    <row r="10"/>
    <row r="11">
      <c r="A11" t="inlineStr">
        <is>
          <t xml:space="preserve">Script-owned module reconciliation</t>
        </is>
      </c>
    </row>
    <row r="12">
      <c r="A12" t="inlineStr">
        <is>
          <t xml:space="preserve">These 22 IDs exist in common/units/equipment/modules/00_tank_modules.txt and now have master/minimal rows.</t>
        </is>
      </c>
    </row>
    <row r="13">
      <c r="A13" t="inlineStr">
        <is>
          <t xml:space="preserve">Direct operations, resources, dismantling cost, XP presence, parent, unlock provenance, and conversion metadata are recorded.</t>
        </is>
      </c>
    </row>
    <row r="14">
      <c r="A14" t="inlineStr">
        <is>
          <t xml:space="preserve">Module</t>
        </is>
      </c>
      <c r="B14" t="inlineStr">
        <is>
          <t xml:space="preserve">Category</t>
        </is>
      </c>
      <c r="C14" t="inlineStr">
        <is>
          <t xml:space="preserve">Abbrev</t>
        </is>
      </c>
      <c r="D14" t="inlineStr">
        <is>
          <t xml:space="preserve">Soft attack</t>
        </is>
      </c>
      <c r="E14" t="inlineStr">
        <is>
          <t xml:space="preserve">Hard attack</t>
        </is>
      </c>
      <c r="F14" t="inlineStr">
        <is>
          <t xml:space="preserve">Piercing</t>
        </is>
      </c>
      <c r="G14" t="inlineStr">
        <is>
          <t xml:space="preserve">Air attack</t>
        </is>
      </c>
      <c r="H14" t="inlineStr">
        <is>
          <t xml:space="preserve">Breakthrough</t>
        </is>
      </c>
      <c r="I14" t="inlineStr">
        <is>
          <t xml:space="preserve">Defence</t>
        </is>
      </c>
      <c r="J14" t="inlineStr">
        <is>
          <t xml:space="preserve">Armor</t>
        </is>
      </c>
      <c r="K14" t="inlineStr">
        <is>
          <t xml:space="preserve">Max speed</t>
        </is>
      </c>
      <c r="L14" t="inlineStr">
        <is>
          <t xml:space="preserve">Production cost</t>
        </is>
      </c>
      <c r="M14" t="inlineStr">
        <is>
          <t xml:space="preserve">Reliability mult</t>
        </is>
      </c>
    </row>
    <row r="15">
      <c r="A15" t="inlineStr">
        <is>
          <t xml:space="preserve">flamethrower</t>
        </is>
      </c>
      <c r="B15" t="inlineStr">
        <is>
          <t xml:space="preserve">tank_flamethrower</t>
        </is>
      </c>
      <c r="C15" t="inlineStr">
        <is>
          <t xml:space="preserve">flt</t>
        </is>
      </c>
      <c r="D15">
        <v>5.0</v>
      </c>
      <c r="L15">
        <v>0.5</v>
      </c>
    </row>
    <row r="16">
      <c r="A16" t="inlineStr">
        <is>
          <t xml:space="preserve">tank_anti_air_cannon</t>
        </is>
      </c>
      <c r="B16" t="inlineStr">
        <is>
          <t xml:space="preserve">tank_small_main_armament</t>
        </is>
      </c>
      <c r="C16" t="inlineStr">
        <is>
          <t xml:space="preserve">aa1</t>
        </is>
      </c>
      <c r="D16">
        <v>6.0</v>
      </c>
      <c r="E16">
        <v>2.0</v>
      </c>
      <c r="F16">
        <v>10.0</v>
      </c>
      <c r="G16">
        <v>18.0</v>
      </c>
      <c r="L16">
        <v>2.0</v>
      </c>
    </row>
    <row r="17">
      <c r="A17" t="inlineStr">
        <is>
          <t xml:space="preserve">tank_anti_air_cannon_2</t>
        </is>
      </c>
      <c r="B17" t="inlineStr">
        <is>
          <t xml:space="preserve">tank_small_main_armament</t>
        </is>
      </c>
      <c r="C17" t="inlineStr">
        <is>
          <t xml:space="preserve">aa2</t>
        </is>
      </c>
      <c r="D17">
        <v>8.0</v>
      </c>
      <c r="E17">
        <v>5.0</v>
      </c>
      <c r="F17">
        <v>18.0</v>
      </c>
      <c r="G17">
        <v>32.0</v>
      </c>
      <c r="L17">
        <v>3.0</v>
      </c>
    </row>
    <row r="18">
      <c r="A18" t="inlineStr">
        <is>
          <t xml:space="preserve">tank_anti_air_cannon_3</t>
        </is>
      </c>
      <c r="B18" t="inlineStr">
        <is>
          <t xml:space="preserve">tank_medium_main_armament</t>
        </is>
      </c>
      <c r="C18" t="inlineStr">
        <is>
          <t xml:space="preserve">aa3</t>
        </is>
      </c>
      <c r="D18">
        <v>10.0</v>
      </c>
      <c r="E18">
        <v>5.0</v>
      </c>
      <c r="F18">
        <v>24.0</v>
      </c>
      <c r="G18">
        <v>46.0</v>
      </c>
      <c r="L18">
        <v>4.0</v>
      </c>
    </row>
    <row r="19">
      <c r="A19" t="inlineStr">
        <is>
          <t xml:space="preserve">tank_gasoline_engine</t>
        </is>
      </c>
      <c r="B19" t="inlineStr">
        <is>
          <t xml:space="preserve">tank_engine_gasoline</t>
        </is>
      </c>
      <c r="C19" t="inlineStr">
        <is>
          <t xml:space="preserve">gas</t>
        </is>
      </c>
      <c r="K19">
        <v>0.5</v>
      </c>
      <c r="L19">
        <v>1.0</v>
      </c>
    </row>
    <row r="20">
      <c r="A20" t="inlineStr">
        <is>
          <t xml:space="preserve">pintle_turret</t>
        </is>
      </c>
      <c r="B20" t="inlineStr">
        <is>
          <t xml:space="preserve">tank_turret_type</t>
        </is>
      </c>
      <c r="C20" t="inlineStr">
        <is>
          <t xml:space="preserve">pin</t>
        </is>
      </c>
      <c r="L20">
        <v>0.5</v>
      </c>
    </row>
    <row r="21">
      <c r="A21" t="inlineStr">
        <is>
          <t xml:space="preserve">light_lp_turret</t>
        </is>
      </c>
      <c r="B21" t="inlineStr">
        <is>
          <t xml:space="preserve">tank_turret_type</t>
        </is>
      </c>
      <c r="C21" t="inlineStr">
        <is>
          <t xml:space="preserve">lgt-lp</t>
        </is>
      </c>
      <c r="L21">
        <v>1.25</v>
      </c>
    </row>
    <row r="22">
      <c r="A22" t="inlineStr">
        <is>
          <t xml:space="preserve">light_turret</t>
        </is>
      </c>
      <c r="B22" t="inlineStr">
        <is>
          <t xml:space="preserve">tank_turret_type</t>
        </is>
      </c>
      <c r="C22" t="inlineStr">
        <is>
          <t xml:space="preserve">lgt</t>
        </is>
      </c>
      <c r="L22">
        <v>1.0</v>
      </c>
    </row>
    <row r="23">
      <c r="A23" t="inlineStr">
        <is>
          <t xml:space="preserve">lp_turret</t>
        </is>
      </c>
      <c r="B23" t="inlineStr">
        <is>
          <t xml:space="preserve">tank_turret_type</t>
        </is>
      </c>
      <c r="C23" t="inlineStr">
        <is>
          <t xml:space="preserve">lp</t>
        </is>
      </c>
      <c r="L23">
        <v>1.5</v>
      </c>
    </row>
    <row r="24">
      <c r="A24" t="inlineStr">
        <is>
          <t xml:space="preserve">conventional_turret</t>
        </is>
      </c>
      <c r="B24" t="inlineStr">
        <is>
          <t xml:space="preserve">tank_turret_type</t>
        </is>
      </c>
      <c r="C24" t="inlineStr">
        <is>
          <t xml:space="preserve">cnv</t>
        </is>
      </c>
      <c r="L24">
        <v>1.0</v>
      </c>
    </row>
    <row r="25">
      <c r="A25" t="inlineStr">
        <is>
          <t xml:space="preserve">oscillating_turret</t>
        </is>
      </c>
      <c r="B25" t="inlineStr">
        <is>
          <t xml:space="preserve">tank_turret_type</t>
        </is>
      </c>
      <c r="C25" t="inlineStr">
        <is>
          <t xml:space="preserve">osc</t>
        </is>
      </c>
      <c r="L25">
        <v>1.5</v>
      </c>
    </row>
    <row r="26">
      <c r="A26" t="inlineStr">
        <is>
          <t xml:space="preserve">open_gun</t>
        </is>
      </c>
      <c r="B26" t="inlineStr">
        <is>
          <t xml:space="preserve">tank_light_turret_type</t>
        </is>
      </c>
      <c r="C26" t="inlineStr">
        <is>
          <t xml:space="preserve">opnl</t>
        </is>
      </c>
      <c r="L26">
        <v>0.5</v>
      </c>
    </row>
    <row r="27">
      <c r="A27" t="inlineStr">
        <is>
          <t xml:space="preserve">medium_open_gun</t>
        </is>
      </c>
      <c r="B27" t="inlineStr">
        <is>
          <t xml:space="preserve">tank_medium_turret_type</t>
        </is>
      </c>
      <c r="C27" t="inlineStr">
        <is>
          <t xml:space="preserve">opnm</t>
        </is>
      </c>
      <c r="L27">
        <v>0.75</v>
      </c>
    </row>
    <row r="28">
      <c r="A28" t="inlineStr">
        <is>
          <t xml:space="preserve">heavy_open_gun</t>
        </is>
      </c>
      <c r="B28" t="inlineStr">
        <is>
          <t xml:space="preserve">tank_heavy_turret_type</t>
        </is>
      </c>
      <c r="C28" t="inlineStr">
        <is>
          <t xml:space="preserve">opnh</t>
        </is>
      </c>
      <c r="L28">
        <v>1.0</v>
      </c>
    </row>
    <row r="29">
      <c r="A29" t="inlineStr">
        <is>
          <t xml:space="preserve">external_gun</t>
        </is>
      </c>
      <c r="B29" t="inlineStr">
        <is>
          <t xml:space="preserve">tank_turret_type</t>
        </is>
      </c>
      <c r="C29" t="inlineStr">
        <is>
          <t xml:space="preserve">extgun</t>
        </is>
      </c>
      <c r="L29">
        <v>1.25</v>
      </c>
    </row>
    <row r="30">
      <c r="A30" t="inlineStr">
        <is>
          <t xml:space="preserve">fixed_superstructure</t>
        </is>
      </c>
      <c r="B30" t="inlineStr">
        <is>
          <t xml:space="preserve">tank_light_turret_type</t>
        </is>
      </c>
      <c r="C30" t="inlineStr">
        <is>
          <t xml:space="preserve">fixl</t>
        </is>
      </c>
      <c r="L30">
        <v>0.75</v>
      </c>
    </row>
    <row r="31">
      <c r="A31" t="inlineStr">
        <is>
          <t xml:space="preserve">medium_fixed_superstructure</t>
        </is>
      </c>
      <c r="B31" t="inlineStr">
        <is>
          <t xml:space="preserve">tank_medium_turret_type</t>
        </is>
      </c>
      <c r="C31" t="inlineStr">
        <is>
          <t xml:space="preserve">fixm</t>
        </is>
      </c>
      <c r="L31">
        <v>1.0</v>
      </c>
    </row>
    <row r="32">
      <c r="A32" t="inlineStr">
        <is>
          <t xml:space="preserve">heavy_fixed_superstructure</t>
        </is>
      </c>
      <c r="B32" t="inlineStr">
        <is>
          <t xml:space="preserve">tank_heavy_turret_type</t>
        </is>
      </c>
      <c r="C32" t="inlineStr">
        <is>
          <t xml:space="preserve">fixh</t>
        </is>
      </c>
      <c r="L32">
        <v>1.25</v>
      </c>
    </row>
    <row r="33">
      <c r="A33" t="inlineStr">
        <is>
          <t xml:space="preserve">cwic_coaxial_mg</t>
        </is>
      </c>
      <c r="B33" t="inlineStr">
        <is>
          <t xml:space="preserve">tank_secondary_turret</t>
        </is>
      </c>
      <c r="C33" t="inlineStr">
        <is>
          <t xml:space="preserve">cxmg</t>
        </is>
      </c>
      <c r="D33">
        <v>0.5</v>
      </c>
      <c r="L33">
        <v>0.25</v>
      </c>
    </row>
    <row r="34">
      <c r="A34" t="inlineStr">
        <is>
          <t xml:space="preserve">cwic_hull_mg</t>
        </is>
      </c>
      <c r="B34" t="inlineStr">
        <is>
          <t xml:space="preserve">tank_secondary_turret</t>
        </is>
      </c>
      <c r="C34" t="inlineStr">
        <is>
          <t xml:space="preserve">hlmg</t>
        </is>
      </c>
      <c r="D34">
        <v>0.5</v>
      </c>
      <c r="I34">
        <v>0.5</v>
      </c>
      <c r="L34">
        <v>0.35</v>
      </c>
    </row>
    <row r="35">
      <c r="A35" t="inlineStr">
        <is>
          <t xml:space="preserve">cwic_secondary_hmg</t>
        </is>
      </c>
      <c r="B35" t="inlineStr">
        <is>
          <t xml:space="preserve">tank_secondary_turret</t>
        </is>
      </c>
      <c r="C35" t="inlineStr">
        <is>
          <t xml:space="preserve">schmg</t>
        </is>
      </c>
      <c r="D35">
        <v>1.0</v>
      </c>
      <c r="E35">
        <v>0.25</v>
      </c>
      <c r="L35">
        <v>0.75</v>
      </c>
    </row>
    <row r="36">
      <c r="A36" t="inlineStr">
        <is>
          <t xml:space="preserve">cwic_secondary_autocannon</t>
        </is>
      </c>
      <c r="B36" t="inlineStr">
        <is>
          <t xml:space="preserve">tank_secondary_turret</t>
        </is>
      </c>
      <c r="C36" t="inlineStr">
        <is>
          <t xml:space="preserve">scauto</t>
        </is>
      </c>
      <c r="D36">
        <v>2.0</v>
      </c>
      <c r="E36">
        <v>1.0</v>
      </c>
      <c r="F36">
        <v>2.0</v>
      </c>
      <c r="L36">
        <v>1.5</v>
      </c>
    </row>
    <row r="37"/>
    <row r="38">
      <c r="A38" t="inlineStr">
        <is>
          <t xml:space="preserve">Not implemented - next passes (see the drawio page prefixes)</t>
        </is>
      </c>
    </row>
    <row r="39">
      <c r="A39" t="inlineStr">
        <is>
          <t xml:space="preserve">[TODO] Base &amp; Other Tech Modules</t>
        </is>
      </c>
      <c r="B39" t="inlineStr">
        <is>
          <t xml:space="preserve">RWS I-III, blow-out panels, unmanned turret, anti-mine ploughs and rollers, dozer plough, external fuel</t>
        </is>
      </c>
    </row>
    <row r="40">
      <c r="A40" t="inlineStr">
        <is>
          <t xml:space="preserve">[TODO] Artillery</t>
        </is>
      </c>
      <c r="B40" t="inlineStr">
        <is>
          <t xml:space="preserve">No corresponding implementation</t>
        </is>
      </c>
    </row>
    <row r="41">
      <c r="A41" t="inlineStr">
        <is>
          <t xml:space="preserve">[TODO] Trucks &amp; Amphibious</t>
        </is>
      </c>
      <c r="B41" t="inlineStr">
        <is>
          <t xml:space="preserve">No corresponding implementation</t>
        </is>
      </c>
    </row>
    <row r="42">
      <c r="A42" t="inlineStr">
        <is>
          <t xml:space="preserve">[TODO] Light Chassis Based Vehicles</t>
        </is>
      </c>
      <c r="B42" t="inlineStr">
        <is>
          <t xml:space="preserve">No corresponding implementation</t>
        </is>
      </c>
    </row>
    <row r="43"/>
    <row r="44">
      <c r="A44" t="inlineStr">
        <is>
          <t xml:space="preserve">Open issues</t>
        </is>
      </c>
    </row>
    <row r="45">
      <c r="A45" t="inlineStr">
        <is>
          <t xml:space="preserve">~1930 log lines</t>
        </is>
      </c>
      <c r="B45" t="inlineStr">
        <is>
          <t xml:space="preserve">equipment_graphic_database / equipment_model_util want 3D entities for the new *_brigade sub-units (13 names). Cosmetic, needs art.</t>
        </is>
      </c>
    </row>
    <row r="46">
      <c r="A46" t="inlineStr">
        <is>
          <t xml:space="preserve">7 tech names</t>
        </is>
      </c>
      <c r="B46" t="inlineStr">
        <is>
          <t xml:space="preserve">Still exceed the enlarged tech tree label; need shortening.</t>
        </is>
      </c>
    </row>
    <row r="47">
      <c r="A47" t="inlineStr">
        <is>
          <t xml:space="preserve">nsb_optics5 / nsb_optics7</t>
        </is>
      </c>
      <c r="B47" t="inlineStr">
        <is>
          <t xml:space="preserve">Share an identical display name.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Luke Thompson</dc:creator>
  <cp:keywords/>
  <dc:description/>
  <cp:lastModifiedBy/>
  <cp:revision/>
  <dcterms:created xsi:type="dcterms:W3CDTF">2023-05-15T14:46:35Z</dcterms:created>
  <dcterms:modified xsi:type="dcterms:W3CDTF">2026-09-05T04:44:04Z</dcterms:modified>
  <cp:category/>
  <cp:contentStatus/>
</cp:coreProperties>
</file>